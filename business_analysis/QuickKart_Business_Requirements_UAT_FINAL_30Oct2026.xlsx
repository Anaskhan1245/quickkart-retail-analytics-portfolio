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efc92f897c4e46" /></Relationships>
</file>

<file path=xl/workbook.xml><?xml version="1.0" encoding="utf-8"?>
<x:workbook xmlns:x="http://schemas.openxmlformats.org/spreadsheetml/2006/main">
  <x:sheets>
    <x:sheet xmlns:r="http://schemas.openxmlformats.org/officeDocument/2006/relationships" name="QuickKart_Business_Requirements" sheetId="1" r:id="R46260800f22d428e"/>
    <x:sheet xmlns:r="http://schemas.openxmlformats.org/officeDocument/2006/relationships" name="Stakeholder_Clarification_Log" sheetId="2" r:id="Ra6b8981094884852"/>
    <x:sheet xmlns:r="http://schemas.openxmlformats.org/officeDocument/2006/relationships" name="Requirement_Traceability_Matrix" sheetId="3" r:id="R1d404c05ffa64cf6"/>
    <x:sheet xmlns:r="http://schemas.openxmlformats.org/officeDocument/2006/relationships" name="Business_Rules_Summary" sheetId="4" r:id="R5a58d8e7ccc84f0e"/>
    <x:sheet xmlns:r="http://schemas.openxmlformats.org/officeDocument/2006/relationships" name="Agile_User_Stories" sheetId="6" r:id="R530d464c87fb465e"/>
    <x:sheet xmlns:r="http://schemas.openxmlformats.org/officeDocument/2006/relationships" name="Acceptance_Criteria" sheetId="7" r:id="Rc97ec3b397894937"/>
    <x:sheet xmlns:r="http://schemas.openxmlformats.org/officeDocument/2006/relationships" name="UAT_Test_Cases" sheetId="8" r:id="R01140e66dd0e43e4"/>
    <x:sheet xmlns:r="http://schemas.openxmlformats.org/officeDocument/2006/relationships" name="UAT_Defect_Log" sheetId="9" r:id="R47efa72a150e43d0"/>
    <x:sheet xmlns:r="http://schemas.openxmlformats.org/officeDocument/2006/relationships" name="UAT_Summary" sheetId="10" r:id="R9dcfb77d96ff4deb"/>
    <x:sheet xmlns:r="http://schemas.openxmlformats.org/officeDocument/2006/relationships" name="AS_IS_TO_BE_Gap_Analysis" sheetId="11" r:id="R0c3bb2bf6e3e43ec"/>
    <x:sheet xmlns:r="http://schemas.openxmlformats.org/officeDocument/2006/relationships" name="KPI_Definition_Register" sheetId="12" r:id="R6f5b4bcfdda14f72"/>
    <x:sheet xmlns:r="http://schemas.openxmlformats.org/officeDocument/2006/relationships" name="RCA_5_Whys" sheetId="13" r:id="R40049441f2664812"/>
    <x:sheet xmlns:r="http://schemas.openxmlformats.org/officeDocument/2006/relationships" name="RCA_Findings_Action_Plan" sheetId="14" r:id="Rb913c5ff050843af"/>
    <x:sheet xmlns:r="http://schemas.openxmlformats.org/officeDocument/2006/relationships" name="Statistical_Business_Findings" sheetId="15" r:id="R85711b3a4c13437c"/>
    <x:sheet xmlns:r="http://schemas.openxmlformats.org/officeDocument/2006/relationships" name="00_Portfolio_Overview" sheetId="16" r:id="R4ac0305e33a64e90"/>
    <x:sheet xmlns:r="http://schemas.openxmlformats.org/officeDocument/2006/relationships" name="Cloud_Evidence_Register" sheetId="17" r:id="R51dbd7386cc24fb1"/>
    <x:sheet xmlns:r="http://schemas.openxmlformats.org/officeDocument/2006/relationships" name="UAT_Evidence_Manifest" sheetId="18" r:id="Rfbd7e36b18a84636"/>
  </x:sheets>
</x:workbook>
</file>

<file path=xl/sharedStrings.xml><?xml version="1.0" encoding="utf-8"?>
<x:sst xmlns:x="http://schemas.openxmlformats.org/spreadsheetml/2006/main">
  <x:si>
    <x:t xml:space="preserve">Requirement_ID</x:t>
  </x:si>
  <x:si>
    <x:t xml:space="preserve">Business_Requirement</x:t>
  </x:si>
  <x:si>
    <x:t xml:space="preserve">Stakeholder</x:t>
  </x:si>
  <x:si>
    <x:t xml:space="preserve">Priority</x:t>
  </x:si>
  <x:si>
    <x:t xml:space="preserve">Verification_Method</x:t>
  </x:si>
  <x:si>
    <x:t xml:space="preserve">Implementation_Status</x:t>
  </x:si>
  <x:si>
    <x:t xml:space="preserve">Approval_Status</x:t>
  </x:si>
  <x:si>
    <x:t xml:space="preserve">BR-001</x:t>
  </x:si>
  <x:si>
    <x:t xml:space="preserve">Monitor daily sales file submissions from all 50 stores</x:t>
  </x:si>
  <x:si>
    <x:t xml:space="preserve">Operations Manager</x:t>
  </x:si>
  <x:si>
    <x:t xml:space="preserve">High</x:t>
  </x:si>
  <x:si>
    <x:t xml:space="preserve">Check expected vs received store files</x:t>
  </x:si>
  <x:si>
    <x:t xml:space="preserve">Implemented</x:t>
  </x:si>
  <x:si>
    <x:t xml:space="preserve">Draft</x:t>
  </x:si>
  <x:si>
    <x:t xml:space="preserve">BR-002</x:t>
  </x:si>
  <x:si>
    <x:t xml:space="preserve">Identify missing store files before report approval</x:t>
  </x:si>
  <x:si>
    <x:t xml:space="preserve">Test by removing one store file</x:t>
  </x:si>
  <x:si>
    <x:t xml:space="preserve">BR-003</x:t>
  </x:si>
  <x:si>
    <x:t xml:space="preserve">Detect invalid and duplicate sales transactions</x:t>
  </x:si>
  <x:si>
    <x:t xml:space="preserve">Data Analyst</x:t>
  </x:si>
  <x:si>
    <x:t xml:space="preserve">Run data quality validation checks</x:t>
  </x:si>
  <x:si>
    <x:t xml:space="preserve">BR-004</x:t>
  </x:si>
  <x:si>
    <x:t xml:space="preserve">Block daily reporting when required files or data are invalid</x:t>
  </x:si>
  <x:si>
    <x:t xml:space="preserve">Test BLOCKED status on failure</x:t>
  </x:si>
  <x:si>
    <x:t xml:space="preserve">BR-005</x:t>
  </x:si>
  <x:si>
    <x:t xml:space="preserve">Generate approved daily sales output after successful validation</x:t>
  </x:si>
  <x:si>
    <x:t xml:space="preserve">Verify approved CSV and PASS status</x:t>
  </x:si>
  <x:si>
    <x:t xml:space="preserve">BR-006</x:t>
  </x:si>
  <x:si>
    <x:t xml:space="preserve">Monitor sales revenue, gross profit, units and transactions</x:t>
  </x:si>
  <x:si>
    <x:t xml:space="preserve">Sales Manager</x:t>
  </x:si>
  <x:si>
    <x:t xml:space="preserve">Check Power BI KPI calculations</x:t>
  </x:si>
  <x:si>
    <x:t xml:space="preserve">BR-007</x:t>
  </x:si>
  <x:si>
    <x:t xml:space="preserve">Analyze sales by month, location, city and product category</x:t>
  </x:si>
  <x:si>
    <x:t xml:space="preserve">Test Power BI charts and slicers</x:t>
  </x:si>
  <x:si>
    <x:t xml:space="preserve">BR-008</x:t>
  </x:si>
  <x:si>
    <x:t xml:space="preserve">Review product profitability and sales performance</x:t>
  </x:si>
  <x:si>
    <x:t xml:space="preserve">Finance Manager</x:t>
  </x:si>
  <x:si>
    <x:t xml:space="preserve">Medium</x:t>
  </x:si>
  <x:si>
    <x:t xml:space="preserve">Check Product Analysis dashboard</x:t>
  </x:si>
  <x:si>
    <x:t xml:space="preserve">BR-009</x:t>
  </x:si>
  <x:si>
    <x:t xml:space="preserve">Maintain execution logs and exception reports for daily processing</x:t>
  </x:si>
  <x:si>
    <x:t xml:space="preserve">Check JSON status and failure logs</x:t>
  </x:si>
  <x:si>
    <x:t xml:space="preserve">BR-010</x:t>
  </x:si>
  <x:si>
    <x:t xml:space="preserve">Refresh published dashboards automatically with approved reporting data</x:t>
  </x:si>
  <x:si>
    <x:t xml:space="preserve">Management</x:t>
  </x:si>
  <x:si>
    <x:t xml:space="preserve">Clarification_ID</x:t>
  </x:si>
  <x:si>
    <x:t xml:space="preserve">Clarification_Question</x:t>
  </x:si>
  <x:si>
    <x:t xml:space="preserve">Proposed_Business_Rule</x:t>
  </x:si>
  <x:si>
    <x:t xml:space="preserve">Status</x:t>
  </x:si>
  <x:si>
    <x:t xml:space="preserve">CL-001</x:t>
  </x:si>
  <x:si>
    <x:t xml:space="preserve">What is the daily file submission deadline?</x:t>
  </x:si>
  <x:si>
    <x:t xml:space="preserve">All 50 stores should submit files by 8:15 AM</x:t>
  </x:si>
  <x:si>
    <x:t xml:space="preserve">Pending Confirmation</x:t>
  </x:si>
  <x:si>
    <x:t xml:space="preserve">CL-002</x:t>
  </x:si>
  <x:si>
    <x:t xml:space="preserve">What happens if a store file is missing?</x:t>
  </x:si>
  <x:si>
    <x:t xml:space="preserve">Block daily report approval until missing files are resolved</x:t>
  </x:si>
  <x:si>
    <x:t xml:space="preserve">CL-003</x:t>
  </x:si>
  <x:si>
    <x:t xml:space="preserve">How should duplicate Sale IDs be handled?</x:t>
  </x:si>
  <x:si>
    <x:t xml:space="preserve">Flag duplicate transactions for investigation</x:t>
  </x:si>
  <x:si>
    <x:t xml:space="preserve">CL-004</x:t>
  </x:si>
  <x:si>
    <x:t xml:space="preserve">Should zero or negative units be allowed for refunds?</x:t>
  </x:si>
  <x:si>
    <x:t xml:space="preserve">Current simulated sales process requires positive units; refund handling needs clarification</x:t>
  </x:si>
  <x:si>
    <x:t xml:space="preserve">CL-005</x:t>
  </x:si>
  <x:si>
    <x:t xml:space="preserve">Can the report be approved when invalid records exist?</x:t>
  </x:si>
  <x:si>
    <x:t xml:space="preserve">Block approved output until validation passes</x:t>
  </x:si>
  <x:si>
    <x:t xml:space="preserve">CL-006</x:t>
  </x:si>
  <x:si>
    <x:t xml:space="preserve">Which file format should approved reporting use?</x:t>
  </x:si>
  <x:si>
    <x:t xml:space="preserve">Generate approved sales data in CSV format</x:t>
  </x:si>
  <x:si>
    <x:t xml:space="preserve">CL-007</x:t>
  </x:si>
  <x:si>
    <x:t xml:space="preserve">How should gross profit be calculated?</x:t>
  </x:si>
  <x:si>
    <x:t xml:space="preserve">CL-008</x:t>
  </x:si>
  <x:si>
    <x:t xml:space="preserve">Which reporting dimensions are required?</x:t>
  </x:si>
  <x:si>
    <x:t xml:space="preserve">Month, Store Location, City and Product Category</x:t>
  </x:si>
  <x:si>
    <x:t xml:space="preserve">CL-009</x:t>
  </x:si>
  <x:si>
    <x:t xml:space="preserve">How should failed automation runs be tracked?</x:t>
  </x:si>
  <x:si>
    <x:t xml:space="preserve">Generate execution logs and exception reports</x:t>
  </x:si>
  <x:si>
    <x:t xml:space="preserve">CL-010</x:t>
  </x:si>
  <x:si>
    <x:t xml:space="preserve">When should the Power BI dashboard refresh?</x:t>
  </x:si>
  <x:si>
    <x:t xml:space="preserve">Requirement_Summary</x:t>
  </x:si>
  <x:si>
    <x:t xml:space="preserve">Implementation_Reference</x:t>
  </x:si>
  <x:si>
    <x:t xml:space="preserve">Technical_Evidence</x:t>
  </x:si>
  <x:si>
    <x:t xml:space="preserve">FRD_ID</x:t>
  </x:si>
  <x:si>
    <x:t xml:space="preserve">BRD_Reference</x:t>
  </x:si>
  <x:si>
    <x:t xml:space="preserve">FRD_Reference</x:t>
  </x:si>
  <x:si>
    <x:t xml:space="preserve">Mapping_Status</x:t>
  </x:si>
  <x:si>
    <x:t xml:space="preserve">Monitor daily store file submissions</x:t>
  </x:si>
  <x:si>
    <x:t xml:space="preserve">ctl_Expected_Store_Files; ctl_Received_Store_Files; ctl_Daily_File_Status</x:t>
  </x:si>
  <x:si>
    <x:t xml:space="preserve">50 expected and 50 received files</x:t>
  </x:si>
  <x:si>
    <x:t xml:space="preserve">FR-001</x:t>
  </x:si>
  <x:si>
    <x:t xml:space="preserve">Section 6 - BR-001</x:t>
  </x:si>
  <x:si>
    <x:t xml:space="preserve">Section 3 - FR-001</x:t>
  </x:si>
  <x:si>
    <x:t xml:space="preserve">Mapped</x:t>
  </x:si>
  <x:si>
    <x:t xml:space="preserve">Detect missing store files</x:t>
  </x:si>
  <x:si>
    <x:t xml:space="preserve">qc_Missing_Branch_Files; Python daily pipeline</x:t>
  </x:si>
  <x:si>
    <x:t xml:space="preserve">Store 4 missing file detected</x:t>
  </x:si>
  <x:si>
    <x:t xml:space="preserve">FR-002</x:t>
  </x:si>
  <x:si>
    <x:t xml:space="preserve">Section 6 - BR-002</x:t>
  </x:si>
  <x:si>
    <x:t xml:space="preserve">Section 3 - FR-002</x:t>
  </x:si>
  <x:si>
    <x:t xml:space="preserve">Validate sales transactions</x:t>
  </x:si>
  <x:si>
    <x:t xml:space="preserve">qc_Daily_Sales_Quality; qc_Daily_Sales_Exceptions</x:t>
  </x:si>
  <x:si>
    <x:t xml:space="preserve">Invalid Units test and exception detection</x:t>
  </x:si>
  <x:si>
    <x:t xml:space="preserve">FR-003</x:t>
  </x:si>
  <x:si>
    <x:t xml:space="preserve">Section 6 - BR-003</x:t>
  </x:si>
  <x:si>
    <x:t xml:space="preserve">Section 3 - FR-003</x:t>
  </x:si>
  <x:si>
    <x:t xml:space="preserve">Block incomplete or invalid reports</x:t>
  </x:si>
  <x:si>
    <x:t xml:space="preserve">gate_Daily_Sales; out_Daily_Approved; Python daily pipeline</x:t>
  </x:si>
  <x:si>
    <x:t xml:space="preserve">BLOCKED status with 49 received files</x:t>
  </x:si>
  <x:si>
    <x:t xml:space="preserve">FR-004</x:t>
  </x:si>
  <x:si>
    <x:t xml:space="preserve">Section 6 - BR-004</x:t>
  </x:si>
  <x:si>
    <x:t xml:space="preserve">Section 3 - FR-004</x:t>
  </x:si>
  <x:si>
    <x:t xml:space="preserve">Export approved daily sales</x:t>
  </x:si>
  <x:si>
    <x:t xml:space="preserve">03_Approved_Output; run_daily_quality_pipeline.py</x:t>
  </x:si>
  <x:si>
    <x:t xml:space="preserve">PASS status and 1500 approved rows</x:t>
  </x:si>
  <x:si>
    <x:t xml:space="preserve">FR-005</x:t>
  </x:si>
  <x:si>
    <x:t xml:space="preserve">Section 6 - BR-005</x:t>
  </x:si>
  <x:si>
    <x:t xml:space="preserve">Section 3 - FR-005</x:t>
  </x:si>
  <x:si>
    <x:t xml:space="preserve">Monitor sales KPIs</x:t>
  </x:si>
  <x:si>
    <x:t xml:space="preserve">Executive Overview; Measure_table</x:t>
  </x:si>
  <x:si>
    <x:t xml:space="preserve">Sales; Gross Profit; Units; Transactions cards</x:t>
  </x:si>
  <x:si>
    <x:t xml:space="preserve">FR-006</x:t>
  </x:si>
  <x:si>
    <x:t xml:space="preserve">Section 6 - BR-006</x:t>
  </x:si>
  <x:si>
    <x:t xml:space="preserve">Section 3 - FR-006</x:t>
  </x:si>
  <x:si>
    <x:t xml:space="preserve">Analyze sales by month and dimensions</x:t>
  </x:si>
  <x:si>
    <x:t xml:space="preserve">Sales Analysis Power BI page</x:t>
  </x:si>
  <x:si>
    <x:t xml:space="preserve">Monthly charts; location and category slicers</x:t>
  </x:si>
  <x:si>
    <x:t xml:space="preserve">FR-007</x:t>
  </x:si>
  <x:si>
    <x:t xml:space="preserve">Section 6 - BR-007</x:t>
  </x:si>
  <x:si>
    <x:t xml:space="preserve">Section 3 - FR-007</x:t>
  </x:si>
  <x:si>
    <x:t xml:space="preserve">Analyze product profitability</x:t>
  </x:si>
  <x:si>
    <x:t xml:space="preserve">Product Analysis Power BI page</x:t>
  </x:si>
  <x:si>
    <x:t xml:space="preserve">Category performance; product ranking; profit margin</x:t>
  </x:si>
  <x:si>
    <x:t xml:space="preserve">FR-008</x:t>
  </x:si>
  <x:si>
    <x:t xml:space="preserve">Section 6 - BR-008</x:t>
  </x:si>
  <x:si>
    <x:t xml:space="preserve">Section 3 - FR-008</x:t>
  </x:si>
  <x:si>
    <x:t xml:space="preserve">Track pipeline logs and exceptions</x:t>
  </x:si>
  <x:si>
    <x:t xml:space="preserve">04_Automation_Logs; Python daily pipeline</x:t>
  </x:si>
  <x:si>
    <x:t xml:space="preserve">JSON PASS/BLOCKED logs and exception CSV</x:t>
  </x:si>
  <x:si>
    <x:t xml:space="preserve">FR-009</x:t>
  </x:si>
  <x:si>
    <x:t xml:space="preserve">Section 6 - BR-009</x:t>
  </x:si>
  <x:si>
    <x:t xml:space="preserve">Section 3 - FR-009</x:t>
  </x:si>
  <x:si>
    <x:t xml:space="preserve">Automatically refresh published dashboards</x:t>
  </x:si>
  <x:si>
    <x:t xml:space="preserve">FR-010</x:t>
  </x:si>
  <x:si>
    <x:t xml:space="preserve">Section 6 - BR-010</x:t>
  </x:si>
  <x:si>
    <x:t xml:space="preserve">Section 3 - FR-010</x:t>
  </x:si>
  <x:si>
    <x:t xml:space="preserve">Rule_ID</x:t>
  </x:si>
  <x:si>
    <x:t xml:space="preserve">Business_Rule</x:t>
  </x:si>
  <x:si>
    <x:t xml:space="preserve">Expected_System_Behavior</x:t>
  </x:si>
  <x:si>
    <x:t xml:space="preserve">Confirmation_Status</x:t>
  </x:si>
  <x:si>
    <x:t xml:space="preserve">RULE-001</x:t>
  </x:si>
  <x:si>
    <x:t xml:space="preserve">All 50 stores must submit daily sales files</x:t>
  </x:si>
  <x:si>
    <x:t xml:space="preserve">Compare 50 expected files with received files</x:t>
  </x:si>
  <x:si>
    <x:t xml:space="preserve">Pending Stakeholder Confirmation</x:t>
  </x:si>
  <x:si>
    <x:t xml:space="preserve">RULE-002</x:t>
  </x:si>
  <x:si>
    <x:t xml:space="preserve">If any required store file is missing, daily approval must be blocked</x:t>
  </x:si>
  <x:si>
    <x:t xml:space="preserve">Return BLOCKED status and identify missing file</x:t>
  </x:si>
  <x:si>
    <x:t xml:space="preserve">RULE-003</x:t>
  </x:si>
  <x:si>
    <x:t xml:space="preserve">Sale ID must be unique within the reporting batch</x:t>
  </x:si>
  <x:si>
    <x:t xml:space="preserve">Detect and flag duplicate Sale IDs</x:t>
  </x:si>
  <x:si>
    <x:t xml:space="preserve">RULE-004</x:t>
  </x:si>
  <x:si>
    <x:t xml:space="preserve">Units must be positive for the current sales-only scenario</x:t>
  </x:si>
  <x:si>
    <x:t xml:space="preserve">Flag zero or negative Units as invalid</x:t>
  </x:si>
  <x:si>
    <x:t xml:space="preserve">RULE-005</x:t>
  </x:si>
  <x:si>
    <x:t xml:space="preserve">Store ID and Product ID must exist in master data</x:t>
  </x:si>
  <x:si>
    <x:t xml:space="preserve">Flag unknown Store IDs and Product IDs</x:t>
  </x:si>
  <x:si>
    <x:t xml:space="preserve">RULE-006</x:t>
  </x:si>
  <x:si>
    <x:t xml:space="preserve">Invalid transactions must not enter the approved daily output</x:t>
  </x:si>
  <x:si>
    <x:t xml:space="preserve">Block approval if any transaction fails validation</x:t>
  </x:si>
  <x:si>
    <x:t xml:space="preserve">RULE-007</x:t>
  </x:si>
  <x:si>
    <x:t xml:space="preserve">Approved daily sales must be exported as CSV</x:t>
  </x:si>
  <x:si>
    <x:t xml:space="preserve">Generate approved CSV only when checks pass</x:t>
  </x:si>
  <x:si>
    <x:t xml:space="preserve">RULE-008</x:t>
  </x:si>
  <x:si>
    <x:t xml:space="preserve">Gross Profit equals Sales Amount minus Cost Amount</x:t>
  </x:si>
  <x:si>
    <x:t xml:space="preserve">Calculate Gross Profit consistently in reporting</x:t>
  </x:si>
  <x:si>
    <x:t xml:space="preserve">RULE-009</x:t>
  </x:si>
  <x:si>
    <x:t xml:space="preserve">Every pipeline execution must record its result</x:t>
  </x:si>
  <x:si>
    <x:t xml:space="preserve">Maintain PASS or BLOCKED status and execution logs</x:t>
  </x:si>
  <x:si>
    <x:t xml:space="preserve">RULE-010</x:t>
  </x:si>
  <x:si>
    <x:t xml:space="preserve">Dashboard refresh must use approved data only</x:t>
  </x:si>
  <x:si>
    <x:t xml:space="preserve">Refresh reporting after validated output is available</x:t>
  </x:si>
  <x:si>
    <x:t xml:space="preserve">Story_ID</x:t>
  </x:si>
  <x:si>
    <x:t xml:space="preserve">Role</x:t>
  </x:si>
  <x:si>
    <x:t xml:space="preserve">User_Story</x:t>
  </x:si>
  <x:si>
    <x:t xml:space="preserve">Story_Status</x:t>
  </x:si>
  <x:si>
    <x:t xml:space="preserve">US-001</x:t>
  </x:si>
  <x:si>
    <x:t xml:space="preserve">As an Operations Manager, I want to monitor daily file submissions from 50 stores, so that I can track reporting completeness.</x:t>
  </x:si>
  <x:si>
    <x:t xml:space="preserve">US-002</x:t>
  </x:si>
  <x:si>
    <x:t xml:space="preserve">As an Operations Manager, I want to identify missing store files, so that incomplete reports are not approved.</x:t>
  </x:si>
  <x:si>
    <x:t xml:space="preserve">US-003</x:t>
  </x:si>
  <x:si>
    <x:t xml:space="preserve">As a Data Analyst, I want to detect invalid and duplicate transactions, so that reporting data remains accurate.</x:t>
  </x:si>
  <x:si>
    <x:t xml:space="preserve">US-004</x:t>
  </x:si>
  <x:si>
    <x:t xml:space="preserve">As an Operations Manager, I want to block invalid daily reporting batches, so that incorrect data is not approved.</x:t>
  </x:si>
  <x:si>
    <x:t xml:space="preserve">US-005</x:t>
  </x:si>
  <x:si>
    <x:t xml:space="preserve">As a Data Analyst, I want to generate approved daily sales CSV files, so that validated data is available for reporting.</x:t>
  </x:si>
  <x:si>
    <x:t xml:space="preserve">US-006</x:t>
  </x:si>
  <x:si>
    <x:t xml:space="preserve">As a Sales Manager, I want to monitor sales, profit, units and transactions, so that I can evaluate business performance.</x:t>
  </x:si>
  <x:si>
    <x:t xml:space="preserve">US-007</x:t>
  </x:si>
  <x:si>
    <x:t xml:space="preserve">As a Sales Manager, I want to analyze sales by month, city, location and category, so that I can identify performance trends.</x:t>
  </x:si>
  <x:si>
    <x:t xml:space="preserve">US-008</x:t>
  </x:si>
  <x:si>
    <x:t xml:space="preserve">As a Finance Manager, I want to analyze product profitability, so that I can identify high and low performing products.</x:t>
  </x:si>
  <x:si>
    <x:t xml:space="preserve">US-009</x:t>
  </x:si>
  <x:si>
    <x:t xml:space="preserve">As an Operations Manager, I want to review execution logs and exceptions, so that I can investigate reporting failures.</x:t>
  </x:si>
  <x:si>
    <x:t xml:space="preserve">US-010</x:t>
  </x:si>
  <x:si>
    <x:t xml:space="preserve">As a Management User, I want dashboards to refresh automatically using approved data, so that I can view updated information.</x:t>
  </x:si>
  <x:si>
    <x:t xml:space="preserve">AC_ID</x:t>
  </x:si>
  <x:si>
    <x:t xml:space="preserve">Given</x:t>
  </x:si>
  <x:si>
    <x:t xml:space="preserve">When</x:t>
  </x:si>
  <x:si>
    <x:t xml:space="preserve">Then</x:t>
  </x:si>
  <x:si>
    <x:t xml:space="preserve">AC-001</x:t>
  </x:si>
  <x:si>
    <x:t xml:space="preserve">50 store files are expected for a reporting date</x:t>
  </x:si>
  <x:si>
    <x:t xml:space="preserve">All 50 correct store files are available</x:t>
  </x:si>
  <x:si>
    <x:t xml:space="preserve">System shows 50 expected, 50 received and zero missing</x:t>
  </x:si>
  <x:si>
    <x:t xml:space="preserve">AC-002</x:t>
  </x:si>
  <x:si>
    <x:t xml:space="preserve">Daily folders contain files for multiple dates</x:t>
  </x:si>
  <x:si>
    <x:t xml:space="preserve">The reporting pipeline processes the selected reporting date</x:t>
  </x:si>
  <x:si>
    <x:t xml:space="preserve">Only the required date's POS files are included</x:t>
  </x:si>
  <x:si>
    <x:t xml:space="preserve">AC-003</x:t>
  </x:si>
  <x:si>
    <x:t xml:space="preserve">50 store files are expected</x:t>
  </x:si>
  <x:si>
    <x:t xml:space="preserve">Store 4 CSV file is missing</x:t>
  </x:si>
  <x:si>
    <x:t xml:space="preserve">System identifies Store 4 filename and returns BLOCKED</x:t>
  </x:si>
  <x:si>
    <x:t xml:space="preserve">AC-004</x:t>
  </x:si>
  <x:si>
    <x:t xml:space="preserve">A daily sales batch contains transactions</x:t>
  </x:si>
  <x:si>
    <x:t xml:space="preserve">Two transactions contain the same Sale_ID</x:t>
  </x:si>
  <x:si>
    <x:t xml:space="preserve">System flags duplicate Sale IDs</x:t>
  </x:si>
  <x:si>
    <x:t xml:space="preserve">AC-005</x:t>
  </x:si>
  <x:si>
    <x:t xml:space="preserve">Daily sales transactions are loaded</x:t>
  </x:si>
  <x:si>
    <x:t xml:space="preserve">A transaction has Units less than or equal to zero</x:t>
  </x:si>
  <x:si>
    <x:t xml:space="preserve">System flags Invalid Units</x:t>
  </x:si>
  <x:si>
    <x:t xml:space="preserve">AC-006</x:t>
  </x:si>
  <x:si>
    <x:t xml:space="preserve">Product and Store master data are available</x:t>
  </x:si>
  <x:si>
    <x:t xml:space="preserve">A transaction contains an unknown Product_ID or Store_ID</x:t>
  </x:si>
  <x:si>
    <x:t xml:space="preserve">System identifies the invalid master data reference</x:t>
  </x:si>
  <x:si>
    <x:t xml:space="preserve">AC-007</x:t>
  </x:si>
  <x:si>
    <x:t xml:space="preserve">A reporting date is defined</x:t>
  </x:si>
  <x:si>
    <x:t xml:space="preserve">A transaction belongs to a different date</x:t>
  </x:si>
  <x:si>
    <x:t xml:space="preserve">System flags Wrong Reporting Date</x:t>
  </x:si>
  <x:si>
    <x:t xml:space="preserve">AC-008</x:t>
  </x:si>
  <x:si>
    <x:t xml:space="preserve">Daily file and transaction validation is active</x:t>
  </x:si>
  <x:si>
    <x:t xml:space="preserve">At least one required check fails</x:t>
  </x:si>
  <x:si>
    <x:t xml:space="preserve">System blocks approval and provides a failure reason</x:t>
  </x:si>
  <x:si>
    <x:t xml:space="preserve">AC-009</x:t>
  </x:si>
  <x:si>
    <x:t xml:space="preserve">All 50 files and all transactions pass validation</x:t>
  </x:si>
  <x:si>
    <x:t xml:space="preserve">The daily quality pipeline completes</x:t>
  </x:si>
  <x:si>
    <x:t xml:space="preserve">System generates an approved CSV containing 1500 rows for the simulated test batch</x:t>
  </x:si>
  <x:si>
    <x:t xml:space="preserve">AC-010</x:t>
  </x:si>
  <x:si>
    <x:t xml:space="preserve">Validated historical sales data is available</x:t>
  </x:si>
  <x:si>
    <x:t xml:space="preserve">A user opens the Executive Overview dashboard</x:t>
  </x:si>
  <x:si>
    <x:t xml:space="preserve">System displays sales, gross profit, units and transactions KPIs</x:t>
  </x:si>
  <x:si>
    <x:t xml:space="preserve">AC-011</x:t>
  </x:si>
  <x:si>
    <x:t xml:space="preserve">Sales Analysis dashboard is available</x:t>
  </x:si>
  <x:si>
    <x:t xml:space="preserve">A user selects a month, city, location or category</x:t>
  </x:si>
  <x:si>
    <x:t xml:space="preserve">Relevant charts and KPIs update according to the selected filters</x:t>
  </x:si>
  <x:si>
    <x:t xml:space="preserve">AC-012</x:t>
  </x:si>
  <x:si>
    <x:t xml:space="preserve">Product Analysis dashboard is available</x:t>
  </x:si>
  <x:si>
    <x:t xml:space="preserve">A user reviews product categories and products</x:t>
  </x:si>
  <x:si>
    <x:t xml:space="preserve">System displays revenue, profit, margin and product performance</x:t>
  </x:si>
  <x:si>
    <x:t xml:space="preserve">AC-013</x:t>
  </x:si>
  <x:si>
    <x:t xml:space="preserve">The daily pipeline completes successfully</x:t>
  </x:si>
  <x:si>
    <x:t xml:space="preserve">Execution logs are generated</x:t>
  </x:si>
  <x:si>
    <x:t xml:space="preserve">Logs contain PASS status, reporting date and approved row count</x:t>
  </x:si>
  <x:si>
    <x:t xml:space="preserve">AC-014</x:t>
  </x:si>
  <x:si>
    <x:t xml:space="preserve">A required store file is missing</x:t>
  </x:si>
  <x:si>
    <x:t xml:space="preserve">The daily pipeline fails validation</x:t>
  </x:si>
  <x:si>
    <x:t xml:space="preserve">Logs contain BLOCKED status and the missing filename</x:t>
  </x:si>
  <x:si>
    <x:t xml:space="preserve">AC-015</x:t>
  </x:si>
  <x:si>
    <x:t xml:space="preserve">An approved reporting dataset becomes available</x:t>
  </x:si>
  <x:si>
    <x:t xml:space="preserve">The automatic dashboard refresh process runs</x:t>
  </x:si>
  <x:si>
    <x:t xml:space="preserve">Only approved data is used and refresh outcome is recorded</x:t>
  </x:si>
  <x:si>
    <x:t xml:space="preserve">Test_Case_ID</x:t>
  </x:si>
  <x:si>
    <x:t xml:space="preserve">Test_Scenario</x:t>
  </x:si>
  <x:si>
    <x:t xml:space="preserve">Test_Steps</x:t>
  </x:si>
  <x:si>
    <x:t xml:space="preserve">Expected_Result</x:t>
  </x:si>
  <x:si>
    <x:t xml:space="preserve">Test_Status</x:t>
  </x:si>
  <x:si>
    <x:t xml:space="preserve">Actual_Result</x:t>
  </x:si>
  <x:si>
    <x:t xml:space="preserve">Evidence</x:t>
  </x:si>
  <x:si>
    <x:t xml:space="preserve">TC-001</x:t>
  </x:si>
  <x:si>
    <x:t xml:space="preserve">All Store Files Received</x:t>
  </x:si>
  <x:si>
    <x:t xml:space="preserve">Run daily pipeline with 50 valid POS files</x:t>
  </x:si>
  <x:si>
    <x:t xml:space="preserve">50 received and 0 missing</x:t>
  </x:si>
  <x:si>
    <x:t xml:space="preserve">TC-002</x:t>
  </x:si>
  <x:si>
    <x:t xml:space="preserve">Correct Reporting Date</x:t>
  </x:si>
  <x:si>
    <x:t xml:space="preserve">Add sales folders for two dates and refresh reporting query</x:t>
  </x:si>
  <x:si>
    <x:t xml:space="preserve">Only required date files are processed</x:t>
  </x:si>
  <x:si>
    <x:t xml:space="preserve">TC-003</x:t>
  </x:si>
  <x:si>
    <x:t xml:space="preserve">Missing Store File</x:t>
  </x:si>
  <x:si>
    <x:t xml:space="preserve">Temporarily remove Store 4 CSV and run pipeline</x:t>
  </x:si>
  <x:si>
    <x:t xml:space="preserve">Status BLOCKED and missing filename logged</x:t>
  </x:si>
  <x:si>
    <x:t xml:space="preserve">TC-004</x:t>
  </x:si>
  <x:si>
    <x:t xml:space="preserve">Duplicate Sale ID</x:t>
  </x:si>
  <x:si>
    <x:t xml:space="preserve">Add a duplicate Sale_ID and run validation</x:t>
  </x:si>
  <x:si>
    <x:t xml:space="preserve">Duplicate Sale ID flagged</x:t>
  </x:si>
  <x:si>
    <x:t xml:space="preserve">TC-005</x:t>
  </x:si>
  <x:si>
    <x:t xml:space="preserve">Invalid Units</x:t>
  </x:si>
  <x:si>
    <x:t xml:space="preserve">Invalid Units issue detected</x:t>
  </x:si>
  <x:si>
    <x:t xml:space="preserve">TC-006</x:t>
  </x:si>
  <x:si>
    <x:t xml:space="preserve">Unknown Product or Store ID</x:t>
  </x:si>
  <x:si>
    <x:t xml:space="preserve">Unknown master reference detected</x:t>
  </x:si>
  <x:si>
    <x:t xml:space="preserve">TC-007</x:t>
  </x:si>
  <x:si>
    <x:t xml:space="preserve">Wrong Reporting Date</x:t>
  </x:si>
  <x:si>
    <x:t xml:space="preserve">Wrong Reporting Date detected</x:t>
  </x:si>
  <x:si>
    <x:t xml:space="preserve">TC-008</x:t>
  </x:si>
  <x:si>
    <x:t xml:space="preserve">Report Approval Blocking</x:t>
  </x:si>
  <x:si>
    <x:t xml:space="preserve">Approved output blocked and failure logged</x:t>
  </x:si>
  <x:si>
    <x:t xml:space="preserve">TC-009</x:t>
  </x:si>
  <x:si>
    <x:t xml:space="preserve">Successful Approved CSV</x:t>
  </x:si>
  <x:si>
    <x:t xml:space="preserve">Approved CSV contains 1500 transactions</x:t>
  </x:si>
  <x:si>
    <x:t xml:space="preserve">TC-010</x:t>
  </x:si>
  <x:si>
    <x:t xml:space="preserve">Executive Dashboard KPIs</x:t>
  </x:si>
  <x:si>
    <x:t xml:space="preserve">Open Executive Overview and verify KPI measures</x:t>
  </x:si>
  <x:si>
    <x:t xml:space="preserve">Sales profit units and transactions displayed correctly</x:t>
  </x:si>
  <x:si>
    <x:t xml:space="preserve">TC-011</x:t>
  </x:si>
  <x:si>
    <x:t xml:space="preserve">Dashboard Filter Interaction</x:t>
  </x:si>
  <x:si>
    <x:t xml:space="preserve">Relevant visuals and KPIs respond correctly</x:t>
  </x:si>
  <x:si>
    <x:t xml:space="preserve">TC-012</x:t>
  </x:si>
  <x:si>
    <x:t xml:space="preserve">Product Performance Analysis</x:t>
  </x:si>
  <x:si>
    <x:t xml:space="preserve">Revenue profit margin and product performance visible</x:t>
  </x:si>
  <x:si>
    <x:t xml:space="preserve">TC-013</x:t>
  </x:si>
  <x:si>
    <x:t xml:space="preserve">Successful Pipeline Logging</x:t>
  </x:si>
  <x:si>
    <x:t xml:space="preserve">Run a successful daily pipeline</x:t>
  </x:si>
  <x:si>
    <x:t xml:space="preserve">Status JSON records PASS date and row count</x:t>
  </x:si>
  <x:si>
    <x:t xml:space="preserve">TC-014</x:t>
  </x:si>
  <x:si>
    <x:t xml:space="preserve">Failure Logging</x:t>
  </x:si>
  <x:si>
    <x:t xml:space="preserve">Remove required store file and run pipeline</x:t>
  </x:si>
  <x:si>
    <x:t xml:space="preserve">Status BLOCKED and missing filename recorded</x:t>
  </x:si>
  <x:si>
    <x:t xml:space="preserve">TC-015</x:t>
  </x:si>
  <x:si>
    <x:t xml:space="preserve">Automatic Power BI Refresh</x:t>
  </x:si>
  <x:si>
    <x:t xml:space="preserve">Only approved data is loaded and refresh result recorded</x:t>
  </x:si>
  <x:si>
    <x:t xml:space="preserve">Defect_ID</x:t>
  </x:si>
  <x:si>
    <x:t xml:space="preserve">Test_Reference</x:t>
  </x:si>
  <x:si>
    <x:t xml:space="preserve">Issue_Description</x:t>
  </x:si>
  <x:si>
    <x:t xml:space="preserve">Severity</x:t>
  </x:si>
  <x:si>
    <x:t xml:space="preserve">Root_Cause</x:t>
  </x:si>
  <x:si>
    <x:t xml:space="preserve">Corrective_Action</x:t>
  </x:si>
  <x:si>
    <x:t xml:space="preserve">DEF-001</x:t>
  </x:si>
  <x:si>
    <x:t xml:space="preserve">TC-007 / Test Data Setup</x:t>
  </x:si>
  <x:si>
    <x:t xml:space="preserve">Store 4 CSV contained changed Date format and scientific Sale_ID notation</x:t>
  </x:si>
  <x:si>
    <x:t xml:space="preserve">Excel CSV automatic number/date conversion</x:t>
  </x:si>
  <x:si>
    <x:t xml:space="preserve">Corrected CSV source values and reran validation</x:t>
  </x:si>
  <x:si>
    <x:t xml:space="preserve">Resolved</x:t>
  </x:si>
  <x:si>
    <x:t xml:space="preserve">Store 4 BLOCKED and recovery logs</x:t>
  </x:si>
  <x:si>
    <x:t xml:space="preserve">UAT_Metric</x:t>
  </x:si>
  <x:si>
    <x:t xml:space="preserve">Value</x:t>
  </x:si>
  <x:si>
    <x:t xml:space="preserve">Total_Test_Cases</x:t>
  </x:si>
  <x:si>
    <x:t xml:space="preserve">PASS</x:t>
  </x:si>
  <x:si>
    <x:t xml:space="preserve">FAIL</x:t>
  </x:si>
  <x:si>
    <x:t xml:space="preserve">BLOCKED</x:t>
  </x:si>
  <x:si>
    <x:t xml:space="preserve">Not_Run</x:t>
  </x:si>
  <x:si>
    <x:t xml:space="preserve">Formal_Stakeholder_Signoff</x:t>
  </x:si>
  <x:si>
    <x:t xml:space="preserve">Open_Requirement</x:t>
  </x:si>
  <x:si>
    <x:t xml:space="preserve">Gap_ID</x:t>
  </x:si>
  <x:si>
    <x:t xml:space="preserve">Process_Area</x:t>
  </x:si>
  <x:si>
    <x:t xml:space="preserve">AS_IS_Manual_Process</x:t>
  </x:si>
  <x:si>
    <x:t xml:space="preserve">TO_BE_Improved_Process</x:t>
  </x:si>
  <x:si>
    <x:t xml:space="preserve">Identified_Gap</x:t>
  </x:si>
  <x:si>
    <x:t xml:space="preserve">Expected_Business_Benefit</x:t>
  </x:si>
  <x:si>
    <x:t xml:space="preserve">Related_Requirement</x:t>
  </x:si>
  <x:si>
    <x:t xml:space="preserve">GAP-001</x:t>
  </x:si>
  <x:si>
    <x:t xml:space="preserve">Daily File Collection</x:t>
  </x:si>
  <x:si>
    <x:t xml:space="preserve">Analyst manually collects daily store sales files</x:t>
  </x:si>
  <x:si>
    <x:t xml:space="preserve">Store POS files are organized in date-wise input folders</x:t>
  </x:si>
  <x:si>
    <x:t xml:space="preserve">Manual collection and tracking may cause delays</x:t>
  </x:si>
  <x:si>
    <x:t xml:space="preserve">Standardized file intake and easier tracking</x:t>
  </x:si>
  <x:si>
    <x:t xml:space="preserve">Implemented in Simulation</x:t>
  </x:si>
  <x:si>
    <x:t xml:space="preserve">GAP-002</x:t>
  </x:si>
  <x:si>
    <x:t xml:space="preserve">Missing File Detection</x:t>
  </x:si>
  <x:si>
    <x:t xml:space="preserve">Analyst manually identifies stores that did not submit files</x:t>
  </x:si>
  <x:si>
    <x:t xml:space="preserve">Python compares expected and received store files</x:t>
  </x:si>
  <x:si>
    <x:t xml:space="preserve">Missing submissions may be difficult to identify quickly</x:t>
  </x:si>
  <x:si>
    <x:t xml:space="preserve">Automatic detection of missing submissions</x:t>
  </x:si>
  <x:si>
    <x:t xml:space="preserve">GAP-003</x:t>
  </x:si>
  <x:si>
    <x:t xml:space="preserve">Data Combining</x:t>
  </x:si>
  <x:si>
    <x:t xml:space="preserve">Analyst manually combines store CSV files in Excel</x:t>
  </x:si>
  <x:si>
    <x:t xml:space="preserve">Power Query combines POS files from a folder</x:t>
  </x:si>
  <x:si>
    <x:t xml:space="preserve">Manual combining requires repetitive work</x:t>
  </x:si>
  <x:si>
    <x:t xml:space="preserve">Reduced repetitive combining work; Power Query refresh is currently manual</x:t>
  </x:si>
  <x:si>
    <x:t xml:space="preserve">Implemented - Manual Refresh</x:t>
  </x:si>
  <x:si>
    <x:t xml:space="preserve">GAP-004</x:t>
  </x:si>
  <x:si>
    <x:t xml:space="preserve">Data Quality</x:t>
  </x:si>
  <x:si>
    <x:t xml:space="preserve">Analyst manually checks invalid records</x:t>
  </x:si>
  <x:si>
    <x:t xml:space="preserve">Power Query and Python validate transactions</x:t>
  </x:si>
  <x:si>
    <x:t xml:space="preserve">Manual checking can miss data-quality problems</x:t>
  </x:si>
  <x:si>
    <x:t xml:space="preserve">Consistent validation and exception identification</x:t>
  </x:si>
  <x:si>
    <x:t xml:space="preserve">GAP-005</x:t>
  </x:si>
  <x:si>
    <x:t xml:space="preserve">Report Approval</x:t>
  </x:si>
  <x:si>
    <x:t xml:space="preserve">Analyst may prepare a report using incomplete data</x:t>
  </x:si>
  <x:si>
    <x:t xml:space="preserve">Pipeline blocks approval when required checks fail</x:t>
  </x:si>
  <x:si>
    <x:t xml:space="preserve">Incorrect or incomplete records may enter reporting</x:t>
  </x:si>
  <x:si>
    <x:t xml:space="preserve">Prevention of invalid approved output</x:t>
  </x:si>
  <x:si>
    <x:t xml:space="preserve">GAP-006</x:t>
  </x:si>
  <x:si>
    <x:t xml:space="preserve">Approved Output</x:t>
  </x:si>
  <x:si>
    <x:t xml:space="preserve">Analyst manually prepares clean reporting files</x:t>
  </x:si>
  <x:si>
    <x:t xml:space="preserve">Python exports approved sales CSV after validation</x:t>
  </x:si>
  <x:si>
    <x:t xml:space="preserve">Manual output preparation may be inconsistent</x:t>
  </x:si>
  <x:si>
    <x:t xml:space="preserve">Standardized approved CSV generation</x:t>
  </x:si>
  <x:si>
    <x:t xml:space="preserve">GAP-007</x:t>
  </x:si>
  <x:si>
    <x:t xml:space="preserve">Execution Monitoring</x:t>
  </x:si>
  <x:si>
    <x:t xml:space="preserve">Reporting errors are tracked manually</x:t>
  </x:si>
  <x:si>
    <x:t xml:space="preserve">Python creates JSON status and execution logs</x:t>
  </x:si>
  <x:si>
    <x:t xml:space="preserve">Limited automated evidence of failures</x:t>
  </x:si>
  <x:si>
    <x:t xml:space="preserve">Better traceability and easier failure investigation</x:t>
  </x:si>
  <x:si>
    <x:t xml:space="preserve">GAP-008</x:t>
  </x:si>
  <x:si>
    <x:t xml:space="preserve">Daily Execution</x:t>
  </x:si>
  <x:si>
    <x:t xml:space="preserve">Analyst starts processing manually</x:t>
  </x:si>
  <x:si>
    <x:t xml:space="preserve">Manual execution depends on analyst availability</x:t>
  </x:si>
  <x:si>
    <x:t xml:space="preserve">GAP-009</x:t>
  </x:si>
  <x:si>
    <x:t xml:space="preserve">Management Reporting</x:t>
  </x:si>
  <x:si>
    <x:t xml:space="preserve">Analyst prepares static Excel MIS summaries</x:t>
  </x:si>
  <x:si>
    <x:t xml:space="preserve">Power BI provides interactive sales and product dashboards</x:t>
  </x:si>
  <x:si>
    <x:t xml:space="preserve">Static reports offer limited interactive analysis</x:t>
  </x:si>
  <x:si>
    <x:t xml:space="preserve">Interactive KPI monitoring and filtering</x:t>
  </x:si>
  <x:si>
    <x:t xml:space="preserve">Implemented for Historical Data</x:t>
  </x:si>
  <x:si>
    <x:t xml:space="preserve">GAP-010</x:t>
  </x:si>
  <x:si>
    <x:t xml:space="preserve">Automatic Dashboard Refresh</x:t>
  </x:si>
  <x:si>
    <x:t xml:space="preserve">Updated reporting data requires separate refresh steps</x:t>
  </x:si>
  <x:si>
    <x:t xml:space="preserve">KPI_ID</x:t>
  </x:si>
  <x:si>
    <x:t xml:space="preserve">KPI_Name</x:t>
  </x:si>
  <x:si>
    <x:t xml:space="preserve">Business_Question</x:t>
  </x:si>
  <x:si>
    <x:t xml:space="preserve">Calculation</x:t>
  </x:si>
  <x:si>
    <x:t xml:space="preserve">Data_Source</x:t>
  </x:si>
  <x:si>
    <x:t xml:space="preserve">Business_Decision</x:t>
  </x:si>
  <x:si>
    <x:t xml:space="preserve">Target_Status</x:t>
  </x:si>
  <x:si>
    <x:t xml:space="preserve">KPI-001</x:t>
  </x:si>
  <x:si>
    <x:t xml:space="preserve">Total Revenue</x:t>
  </x:si>
  <x:si>
    <x:t xml:space="preserve">How much sales value did QuickKart generate?</x:t>
  </x:si>
  <x:si>
    <x:t xml:space="preserve">SUM(Units * Product_Price)</x:t>
  </x:si>
  <x:si>
    <x:t xml:space="preserve">Historical Sales + Products</x:t>
  </x:si>
  <x:si>
    <x:t xml:space="preserve">Track business sales performance</x:t>
  </x:si>
  <x:si>
    <x:t xml:space="preserve">Target Not Approved</x:t>
  </x:si>
  <x:si>
    <x:t xml:space="preserve">KPI-002</x:t>
  </x:si>
  <x:si>
    <x:t xml:space="preserve">Total Gross Profit</x:t>
  </x:si>
  <x:si>
    <x:t xml:space="preserve">How much gross profit did sales generate?</x:t>
  </x:si>
  <x:si>
    <x:t xml:space="preserve">SUM(Units * (Product_Price - Product_Cost))</x:t>
  </x:si>
  <x:si>
    <x:t xml:space="preserve">Evaluate product profitability</x:t>
  </x:si>
  <x:si>
    <x:t xml:space="preserve">KPI-003</x:t>
  </x:si>
  <x:si>
    <x:t xml:space="preserve">Gross Profit Margin %</x:t>
  </x:si>
  <x:si>
    <x:t xml:space="preserve">How much gross profit is earned per 100 revenue?</x:t>
  </x:si>
  <x:si>
    <x:t xml:space="preserve">Total Gross Profit / Total Revenue * 100</x:t>
  </x:si>
  <x:si>
    <x:t xml:space="preserve">Identify low-margin categories or stores</x:t>
  </x:si>
  <x:si>
    <x:t xml:space="preserve">KPI-004</x:t>
  </x:si>
  <x:si>
    <x:t xml:space="preserve">Total Units Sold</x:t>
  </x:si>
  <x:si>
    <x:t xml:space="preserve">How many product units were sold?</x:t>
  </x:si>
  <x:si>
    <x:t xml:space="preserve">SUM(Units)</x:t>
  </x:si>
  <x:si>
    <x:t xml:space="preserve">Historical Sales</x:t>
  </x:si>
  <x:si>
    <x:t xml:space="preserve">Analyze customer demand and volume</x:t>
  </x:si>
  <x:si>
    <x:t xml:space="preserve">KPI-005</x:t>
  </x:si>
  <x:si>
    <x:t xml:space="preserve">Total Transactions</x:t>
  </x:si>
  <x:si>
    <x:t xml:space="preserve">How many sales transaction records exist?</x:t>
  </x:si>
  <x:si>
    <x:t xml:space="preserve">COUNT(Sale_ID)</x:t>
  </x:si>
  <x:si>
    <x:t xml:space="preserve">Monitor transaction activity</x:t>
  </x:si>
  <x:si>
    <x:t xml:space="preserve">KPI-006</x:t>
  </x:si>
  <x:si>
    <x:t xml:space="preserve">Average Selling Price</x:t>
  </x:si>
  <x:si>
    <x:t xml:space="preserve">What was the average realized price per unit?</x:t>
  </x:si>
  <x:si>
    <x:t xml:space="preserve">Total Revenue / Total Units Sold</x:t>
  </x:si>
  <x:si>
    <x:t xml:space="preserve">Understand price mix and selling trends</x:t>
  </x:si>
  <x:si>
    <x:t xml:space="preserve">KPI-007</x:t>
  </x:si>
  <x:si>
    <x:t xml:space="preserve">MoM Revenue Growth %</x:t>
  </x:si>
  <x:si>
    <x:t xml:space="preserve">How did revenue change versus the previous month?</x:t>
  </x:si>
  <x:si>
    <x:t xml:space="preserve">(Current Month Revenue - Previous Month Revenue) / Previous Month Revenue * 100</x:t>
  </x:si>
  <x:si>
    <x:t xml:space="preserve">Historical Sales + Calendar</x:t>
  </x:si>
  <x:si>
    <x:t xml:space="preserve">Identify sales growth or decline</x:t>
  </x:si>
  <x:si>
    <x:t xml:space="preserve">KPI-008</x:t>
  </x:si>
  <x:si>
    <x:t xml:space="preserve">Zero Stock Product Locations</x:t>
  </x:si>
  <x:si>
    <x:t xml:space="preserve">How many store-product records have zero stock?</x:t>
  </x:si>
  <x:si>
    <x:t xml:space="preserve">COUNT(Store-Product Pairs where Stock_On_Hand = 0)</x:t>
  </x:si>
  <x:si>
    <x:t xml:space="preserve">Historical Inventory</x:t>
  </x:si>
  <x:si>
    <x:t xml:space="preserve">Identify potential availability risks</x:t>
  </x:si>
  <x:si>
    <x:t xml:space="preserve">Threshold Review Pending</x:t>
  </x:si>
  <x:si>
    <x:t xml:space="preserve">KPI-009</x:t>
  </x:si>
  <x:si>
    <x:t xml:space="preserve">Approved Daily Transactions</x:t>
  </x:si>
  <x:si>
    <x:t xml:space="preserve">How many approved daily sales records were loaded?</x:t>
  </x:si>
  <x:si>
    <x:t xml:space="preserve">Verify daily reporting data availability</x:t>
  </x:si>
  <x:si>
    <x:t xml:space="preserve">Level</x:t>
  </x:si>
  <x:si>
    <x:t xml:space="preserve">Analysis_or_Finding</x:t>
  </x:si>
  <x:si>
    <x:t xml:space="preserve">Evidence_Status</x:t>
  </x:si>
  <x:si>
    <x:t xml:space="preserve">Evidence_or_Validation</x:t>
  </x:si>
  <x:si>
    <x:t xml:space="preserve">Next_Action</x:t>
  </x:si>
  <x:si>
    <x:t xml:space="preserve">Problem</x:t>
  </x:si>
  <x:si>
    <x:t xml:space="preserve">What happened in August 2023?</x:t>
  </x:si>
  <x:si>
    <x:t xml:space="preserve">Revenue declined by $167471.79 (-20.22%) vs July</x:t>
  </x:si>
  <x:si>
    <x:t xml:space="preserve">Verified</x:t>
  </x:si>
  <x:si>
    <x:t xml:space="preserve">Monthly Revenue Variance SQL</x:t>
  </x:si>
  <x:si>
    <x:t xml:space="preserve">Investigate revenue decline contributors</x:t>
  </x:si>
  <x:si>
    <x:t xml:space="preserve">Why 1</x:t>
  </x:si>
  <x:si>
    <x:t xml:space="preserve">Why did overall revenue decrease?</x:t>
  </x:si>
  <x:si>
    <x:t xml:space="preserve">Units fell from 63614 to 51193 (-19.53%); volume was the main mathematical driver</x:t>
  </x:si>
  <x:si>
    <x:t xml:space="preserve">Monthly and Category SQL Analysis</x:t>
  </x:si>
  <x:si>
    <x:t xml:space="preserve">Investigate which categories and products lost volume</x:t>
  </x:si>
  <x:si>
    <x:t xml:space="preserve">Why 2</x:t>
  </x:si>
  <x:si>
    <x:t xml:space="preserve">Which categories contributed most?</x:t>
  </x:si>
  <x:si>
    <x:t xml:space="preserve">Toys revenue fell $61223.47; Art &amp; Crafts fell $51567.35; together 67.35% of overall decline</x:t>
  </x:si>
  <x:si>
    <x:t xml:space="preserve">Category July-August Comparison</x:t>
  </x:si>
  <x:si>
    <x:t xml:space="preserve">Drill down to product and store level</x:t>
  </x:si>
  <x:si>
    <x:t xml:space="preserve">Why 3</x:t>
  </x:si>
  <x:si>
    <x:t xml:space="preserve">Why did customers buy fewer units in these categories?</x:t>
  </x:si>
  <x:si>
    <x:t xml:space="preserve">Actual business cause is not yet established</x:t>
  </x:si>
  <x:si>
    <x:t xml:space="preserve">Unverified</x:t>
  </x:si>
  <x:si>
    <x:t xml:space="preserve">Requires product trends, promotions and demand data</x:t>
  </x:si>
  <x:si>
    <x:t xml:space="preserve">Investigate product-level sales changes</x:t>
  </x:si>
  <x:si>
    <x:t xml:space="preserve">Why 4</x:t>
  </x:si>
  <x:si>
    <x:t xml:space="preserve">Did stock availability or promotions affect sales?</x:t>
  </x:si>
  <x:si>
    <x:t xml:space="preserve">Stockouts or promotional changes are possible hypotheses, not confirmed causes</x:t>
  </x:si>
  <x:si>
    <x:t xml:space="preserve">Requires historical stock and promotion records</x:t>
  </x:si>
  <x:si>
    <x:t xml:space="preserve">Request relevant historical operational data</x:t>
  </x:si>
  <x:si>
    <x:t xml:space="preserve">Why 5</x:t>
  </x:si>
  <x:si>
    <x:t xml:space="preserve">What underlying process issue caused the decline?</x:t>
  </x:si>
  <x:si>
    <x:t xml:space="preserve">Root process cause cannot be confirmed with current evidence</x:t>
  </x:si>
  <x:si>
    <x:t xml:space="preserve">Pending Further Investigation</x:t>
  </x:si>
  <x:si>
    <x:t xml:space="preserve">Requires validated operational evidence and stakeholder review</x:t>
  </x:si>
  <x:si>
    <x:t xml:space="preserve">Document root cause only after verification</x:t>
  </x:si>
  <x:si>
    <x:t xml:space="preserve">Finding_ID</x:t>
  </x:si>
  <x:si>
    <x:t xml:space="preserve">Business_Finding</x:t>
  </x:si>
  <x:si>
    <x:t xml:space="preserve">Business_Impact</x:t>
  </x:si>
  <x:si>
    <x:t xml:space="preserve">Recommended_Action</x:t>
  </x:si>
  <x:si>
    <x:t xml:space="preserve">RCA-001</x:t>
  </x:si>
  <x:si>
    <x:t xml:space="preserve">August 2023 revenue decreased by 20.22%</x:t>
  </x:si>
  <x:si>
    <x:t xml:space="preserve">Monthly SQL Variance Analysis</x:t>
  </x:si>
  <x:si>
    <x:t xml:space="preserve">Revenue decreased by 167471.79 USD</x:t>
  </x:si>
  <x:si>
    <x:t xml:space="preserve">Investigate month-over-month changes by city category and product</x:t>
  </x:si>
  <x:si>
    <x:t xml:space="preserve">RCA-002</x:t>
  </x:si>
  <x:si>
    <x:t xml:space="preserve">Units sold declined by 12421</x:t>
  </x:si>
  <x:si>
    <x:t xml:space="preserve">Monthly KPI Analysis</x:t>
  </x:si>
  <x:si>
    <x:t xml:space="preserve">Lower sales volume contributed substantially to lower revenue</x:t>
  </x:si>
  <x:si>
    <x:t xml:space="preserve">Investigate transaction and unit changes across stores and products</x:t>
  </x:si>
  <x:si>
    <x:t xml:space="preserve">RCA-003</x:t>
  </x:si>
  <x:si>
    <x:t xml:space="preserve">Toys and Art &amp; Crafts were major declining categories</x:t>
  </x:si>
  <x:si>
    <x:t xml:space="preserve">Category SQL Drill-Down</x:t>
  </x:si>
  <x:si>
    <x:t xml:space="preserve">Combined net revenue decline of 112790.82 USD</x:t>
  </x:si>
  <x:si>
    <x:t xml:space="preserve">Prioritize detailed analysis of these two categories</x:t>
  </x:si>
  <x:si>
    <x:t xml:space="preserve">RCA-004</x:t>
  </x:si>
  <x:si>
    <x:t xml:space="preserve">Lego Bricks showed the largest product revenue decline</x:t>
  </x:si>
  <x:si>
    <x:t xml:space="preserve">Product SQL Analysis</x:t>
  </x:si>
  <x:si>
    <x:t xml:space="preserve">Revenue decreased by 36870.78 USD and units decreased by 922</x:t>
  </x:si>
  <x:si>
    <x:t xml:space="preserve">Investigate Lego Bricks performance across stores</x:t>
  </x:si>
  <x:si>
    <x:t xml:space="preserve">RCA-005</x:t>
  </x:si>
  <x:si>
    <x:t xml:space="preserve">Magic Sand showed a major sales-volume decline</x:t>
  </x:si>
  <x:si>
    <x:t xml:space="preserve">Revenue decreased by 27390.87 USD and units decreased by 1713</x:t>
  </x:si>
  <x:si>
    <x:t xml:space="preserve">Analyze Magic Sand store-level sales changes</x:t>
  </x:si>
  <x:si>
    <x:t xml:space="preserve">RCA-006</x:t>
  </x:si>
  <x:si>
    <x:t xml:space="preserve">Etch A Sketch revenue decreased by 55.04%</x:t>
  </x:si>
  <x:si>
    <x:t xml:space="preserve">Revenue decreased by 17883.48 USD</x:t>
  </x:si>
  <x:si>
    <x:t xml:space="preserve">Investigate product-level changes and historical availability</x:t>
  </x:si>
  <x:si>
    <x:t xml:space="preserve">RCA-007</x:t>
  </x:si>
  <x:si>
    <x:t xml:space="preserve">Historical stock availability may have affected sales</x:t>
  </x:si>
  <x:si>
    <x:t xml:space="preserve">Historical stock evidence is not available for the investigated months</x:t>
  </x:si>
  <x:si>
    <x:t xml:space="preserve">Potential business cause cannot be confirmed</x:t>
  </x:si>
  <x:si>
    <x:t xml:space="preserve">Request July and August 2023 inventory snapshots</x:t>
  </x:si>
  <x:si>
    <x:t xml:space="preserve">Hypothesis - Unverified</x:t>
  </x:si>
  <x:si>
    <x:t xml:space="preserve">RCA-008</x:t>
  </x:si>
  <x:si>
    <x:t xml:space="preserve">Promotion and demand changes may have affected sales</x:t>
  </x:si>
  <x:si>
    <x:t xml:space="preserve">Promotion and customer-demand evidence not yet available</x:t>
  </x:si>
  <x:si>
    <x:t xml:space="preserve">Underlying operational cause remains unconfirmed</x:t>
  </x:si>
  <x:si>
    <x:t xml:space="preserve">Request historical promotion and demand data</x:t>
  </x:si>
  <x:si>
    <x:t xml:space="preserve">Statistical_Measure</x:t>
  </x:si>
  <x:si>
    <x:t xml:space="preserve">Business_Interpretation</x:t>
  </x:si>
  <x:si>
    <x:t xml:space="preserve">STAT-001</x:t>
  </x:si>
  <x:si>
    <x:t xml:space="preserve">Mean Sale Amount</x:t>
  </x:si>
  <x:si>
    <x:t xml:space="preserve">17.42 USD</x:t>
  </x:si>
  <x:si>
    <x:t xml:space="preserve">Average historical transaction amount is 17.42 USD</x:t>
  </x:si>
  <x:si>
    <x:t xml:space="preserve">Monitor average transaction value</x:t>
  </x:si>
  <x:si>
    <x:t xml:space="preserve">STAT-002</x:t>
  </x:si>
  <x:si>
    <x:t xml:space="preserve">Median Sale Amount</x:t>
  </x:si>
  <x:si>
    <x:t xml:space="preserve">14.99 USD</x:t>
  </x:si>
  <x:si>
    <x:t xml:space="preserve">Median is lower than mean; some high-value transactions may pull up the average</x:t>
  </x:si>
  <x:si>
    <x:t xml:space="preserve">Use median alongside average for reporting</x:t>
  </x:si>
  <x:si>
    <x:t xml:space="preserve">STAT-003</x:t>
  </x:si>
  <x:si>
    <x:t xml:space="preserve">Standard Deviation</x:t>
  </x:si>
  <x:si>
    <x:t xml:space="preserve">15.52 USD</x:t>
  </x:si>
  <x:si>
    <x:t xml:space="preserve">Transaction values show substantial variability</x:t>
  </x:si>
  <x:si>
    <x:t xml:space="preserve">Compare variability by category and city</x:t>
  </x:si>
  <x:si>
    <x:t xml:space="preserve">STAT-004</x:t>
  </x:si>
  <x:si>
    <x:t xml:space="preserve">Interquartile Range</x:t>
  </x:si>
  <x:si>
    <x:t xml:space="preserve">11.00 USD</x:t>
  </x:si>
  <x:si>
    <x:t xml:space="preserve">Middle 50 percent of transaction values span 11.00 USD</x:t>
  </x:si>
  <x:si>
    <x:t xml:space="preserve">Use quartiles to understand typical sales distribution</x:t>
  </x:si>
  <x:si>
    <x:t xml:space="preserve">STAT-005</x:t>
  </x:si>
  <x:si>
    <x:t xml:space="preserve">Upper Outlier Threshold</x:t>
  </x:si>
  <x:si>
    <x:t xml:space="preserve">36.49 USD</x:t>
  </x:si>
  <x:si>
    <x:t xml:space="preserve">Transactions above 36.49 USD are high outliers under the 1.5 IQR rule</x:t>
  </x:si>
  <x:si>
    <x:t xml:space="preserve">Investigate high-value transaction patterns</x:t>
  </x:si>
  <x:si>
    <x:t xml:space="preserve">STAT-006</x:t>
  </x:si>
  <x:si>
    <x:t xml:space="preserve">High-Value Outlier Records</x:t>
  </x:si>
  <x:si>
    <x:t xml:space="preserve">89908 records; 10.84 percent</x:t>
  </x:si>
  <x:si>
    <x:t xml:space="preserve">High-value records form a noticeable share of historical transactions</x:t>
  </x:si>
  <x:si>
    <x:t xml:space="preserve">Review product and category contributions</x:t>
  </x:si>
  <x:si>
    <x:t xml:space="preserve">STAT-007</x:t>
  </x:si>
  <x:si>
    <x:t xml:space="preserve">Low-Value Outlier Records</x:t>
  </x:si>
  <x:si>
    <x:t xml:space="preserve">0 records</x:t>
  </x:si>
  <x:si>
    <x:t xml:space="preserve">No records are below the IQR lower limit of -7.51 USD</x:t>
  </x:si>
  <x:si>
    <x:t xml:space="preserve">No lower outliers detected under this rule</x:t>
  </x:si>
  <x:si>
    <x:t xml:space="preserve">STAT-008</x:t>
  </x:si>
  <x:si>
    <x:t xml:space="preserve">Top High-Value Product</x:t>
  </x:si>
  <x:si>
    <x:t xml:space="preserve">Review product price and sales quantity patterns</x:t>
  </x:si>
  <x:si>
    <x:t xml:space="preserve">STAT-009</x:t>
  </x:si>
  <x:si>
    <x:t xml:space="preserve">Top City by Outlier Rate</x:t>
  </x:si>
  <x:si>
    <x:t xml:space="preserve">Review city sales mix</x:t>
  </x:si>
  <x:si>
    <x:t xml:space="preserve">STAT-010</x:t>
  </x:si>
  <x:si>
    <x:t xml:space="preserve">Top Category by Outlier Rate</x:t>
  </x:si>
  <x:si>
    <x:t xml:space="preserve">Review category sales mix</x:t>
  </x:si>
</x:sst>
</file>

<file path=xl/styles.xml><?xml version="1.0" encoding="utf-8"?>
<x:styleSheet xmlns:x="http://schemas.openxmlformats.org/spreadsheetml/2006/main">
  <x:numFmts count="1">
    <x:numFmt numFmtId="200" formatCode="0.0%"/>
  </x:numFmts>
  <x:fonts count="13">
    <x:font>
      <x:sz val="11"/>
      <x:color theme="1"/>
      <x:name val="Aptos Narrow"/>
    </x:font>
    <x:font>
      <x:sz val="12"/>
      <x:color theme="1"/>
      <x:name val="Aptos Narrow"/>
    </x:font>
    <x:font>
      <x:b/>
      <x:sz val="15"/>
      <x:color rgb="FFFFFFFF"/>
      <x:name val="Aptos Narrow"/>
    </x:font>
    <x:font>
      <x:sz val="10"/>
      <x:color rgb="FF234255"/>
      <x:name val="Aptos Narrow"/>
    </x:font>
    <x:font>
      <x:b/>
      <x:sz val="11"/>
      <x:color rgb="FFFFFFFF"/>
      <x:name val="Aptos Narrow"/>
    </x:font>
    <x:font>
      <x:b/>
      <x:sz val="11"/>
      <x:color rgb="FF1B5369"/>
      <x:name val="Aptos Narrow"/>
    </x:font>
    <x:font>
      <x:sz val="11"/>
      <x:color rgb="FF14532D"/>
      <x:name val="Aptos Narrow"/>
    </x:font>
    <x:font>
      <x:sz val="10"/>
      <x:color rgb="FF18364E"/>
      <x:name val="Aptos Narrow"/>
    </x:font>
    <x:font>
      <x:b/>
      <x:sz val="11"/>
      <x:color rgb="FF145FAE"/>
      <x:name val="Aptos Narrow"/>
    </x:font>
    <x:font>
      <x:sz val="10"/>
      <x:color rgb="FF92400E"/>
      <x:name val="Aptos Narrow"/>
    </x:font>
    <x:font>
      <x:b/>
      <x:sz val="12"/>
      <x:color rgb="FFFFFFFF"/>
      <x:name val="Aptos Narrow"/>
    </x:font>
    <x:font>
      <x:b/>
      <x:sz val="11"/>
      <x:color rgb="FF047857"/>
      <x:name val="Aptos Narrow"/>
    </x:font>
    <x:font>
      <x:b/>
      <x:sz val="11"/>
      <x:color rgb="FF18364E"/>
      <x:name val="Aptos Narrow"/>
    </x:font>
  </x:fonts>
  <x:fills count="15">
    <x:fill>
      <x:patternFill patternType="none"/>
    </x:fill>
    <x:fill>
      <x:patternFill patternType="gray125"/>
    </x:fill>
    <x:fill>
      <x:patternFill patternType="solid">
        <x:fgColor rgb="FF13516F"/>
      </x:patternFill>
    </x:fill>
    <x:fill>
      <x:patternFill patternType="solid">
        <x:fgColor rgb="FFD9EDF5"/>
      </x:patternFill>
    </x:fill>
    <x:fill>
      <x:patternFill patternType="solid">
        <x:fgColor rgb="FF19759A"/>
      </x:patternFill>
    </x:fill>
    <x:fill>
      <x:patternFill patternType="solid">
        <x:fgColor rgb="FFEAF5F9"/>
      </x:patternFill>
    </x:fill>
    <x:fill>
      <x:patternFill patternType="solid">
        <x:fgColor rgb="FFD9F5E8"/>
      </x:patternFill>
    </x:fill>
    <x:fill>
      <x:patternFill patternType="solid">
        <x:fgColor rgb="FFFFF2CC"/>
      </x:patternFill>
    </x:fill>
    <x:fill>
      <x:patternFill patternType="solid">
        <x:fgColor rgb="FF102A43"/>
      </x:patternFill>
    </x:fill>
    <x:fill>
      <x:patternFill patternType="solid">
        <x:fgColor rgb="FFDCEEF9"/>
      </x:patternFill>
    </x:fill>
    <x:fill>
      <x:patternFill patternType="solid">
        <x:fgColor rgb="FF145FAE"/>
      </x:patternFill>
    </x:fill>
    <x:fill>
      <x:patternFill patternType="solid">
        <x:fgColor rgb="FFF1F6FB"/>
      </x:patternFill>
    </x:fill>
    <x:fill>
      <x:patternFill patternType="solid">
        <x:fgColor rgb="FFEDF5FD"/>
      </x:patternFill>
    </x:fill>
    <x:fill>
      <x:patternFill patternType="solid">
        <x:fgColor rgb="FFFFF7ED"/>
      </x:patternFill>
    </x:fill>
    <x:fill>
      <x:patternFill patternType="solid">
        <x:fgColor rgb="FFECFDF5"/>
      </x:patternFill>
    </x:fill>
  </x:fills>
  <x:borders count="2">
    <x:border/>
    <x:border/>
  </x:borders>
  <x:cellStyleXfs count="1">
    <x:xf numFmtId="0" fontId="0" fillId="0" borderId="0"/>
  </x:cellStyleXfs>
  <x:cellXfs count="98">
    <x:xf numFmtId="0" fontId="0" fillId="0" borderId="0" xfId="0"/>
    <x:xf numFmtId="0" fontId="0" fillId="0" borderId="0" xfId="0" applyAlignment="1">
      <x:alignment wrapText="1"/>
    </x:xf>
    <x:xf numFmtId="0" fontId="0" fillId="0" borderId="0" xfId="0" applyAlignment="1">
      <x:alignment horizontal="left" vertical="center"/>
    </x:xf>
    <x:xf numFmtId="0" fontId="0" fillId="0" borderId="0" xfId="0" applyAlignment="1">
      <x:alignment horizontal="left" vertical="center" wrapText="1"/>
    </x:xf>
    <x:xf numFmtId="0" fontId="1" fillId="0" borderId="0" xfId="0" applyFont="1" applyAlignment="1">
      <x:alignment vertical="center"/>
    </x:xf>
    <x:xf numFmtId="0" fontId="0" fillId="0" borderId="0" xfId="0" applyAlignment="1">
      <x:alignment horizontal="center" vertical="center" wrapText="1"/>
    </x:xf>
    <x:xf numFmtId="0" fontId="0" fillId="0" borderId="0" xfId="0"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horizontal="left" vertical="center"/>
    </x:xf>
    <x:xf numFmtId="0" fontId="0" fillId="0" borderId="1" xfId="0" applyNumberFormat="1" applyFont="1" applyFill="1" applyBorder="1" applyAlignment="1">
      <x:alignment horizontal="left" vertical="center" wrapText="1"/>
    </x:xf>
    <x:xf numFmtId="0" fontId="1" fillId="0" borderId="1" xfId="0" applyNumberFormat="1" applyFont="1" applyFill="1" applyBorder="1" applyAlignment="1">
      <x:alignment vertical="center"/>
    </x:xf>
    <x:xf numFmtId="0" fontId="0" fillId="0"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0" fillId="2" borderId="1"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5"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x:xf numFmtId="0" fontId="4" fillId="2"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0" fillId="6" borderId="0" xfId="0" applyNumberFormat="1" applyFont="1" applyFill="1" applyBorder="1" applyAlignment="1">
      <x:alignment horizontal="left" vertical="center" wrapText="1"/>
    </x:xf>
    <x:xf numFmtId="0" fontId="0" fillId="6" borderId="1" xfId="0" applyNumberFormat="1" applyFont="1" applyFill="1" applyBorder="1" applyAlignment="1">
      <x:alignment horizontal="left" vertical="center" wrapText="1"/>
    </x:xf>
    <x:xf numFmtId="0" fontId="6" fillId="6" borderId="0" xfId="0" applyNumberFormat="1" applyFont="1" applyFill="1" applyBorder="1" applyAlignment="1">
      <x:alignment horizontal="left" vertical="center" wrapText="1"/>
    </x:xf>
    <x:xf numFmtId="0" fontId="6" fillId="6" borderId="1" xfId="0" applyNumberFormat="1" applyFont="1" applyFill="1" applyBorder="1" applyAlignment="1">
      <x:alignment horizontal="left" vertical="center"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0" fillId="7" borderId="0" xfId="0" applyNumberFormat="1" applyFont="1" applyFill="1" applyBorder="1" applyAlignment="1">
      <x:alignment horizontal="left" vertical="center" wrapText="1"/>
    </x:xf>
    <x:xf numFmtId="0" fontId="0" fillId="7" borderId="1" xfId="0" applyNumberFormat="1" applyFont="1" applyFill="1" applyBorder="1" applyAlignment="1">
      <x:alignment horizontal="left" vertical="center" wrapText="1"/>
    </x:xf>
    <x:xf numFmtId="0" fontId="0" fillId="7" borderId="0" xfId="0" applyNumberFormat="1" applyFont="1" applyFill="1" applyBorder="1" applyAlignment="1">
      <x:alignment horizontal="center" vertical="center" wrapText="1"/>
    </x:xf>
    <x:xf numFmtId="0" fontId="0" fillId="7" borderId="1" xfId="0" applyNumberFormat="1" applyFont="1" applyFill="1" applyBorder="1" applyAlignment="1">
      <x:alignment horizontal="center" vertical="center" wrapText="1"/>
    </x:xf>
    <x:xf numFmtId="0" fontId="0" fillId="7" borderId="0" xfId="0" applyNumberFormat="1" applyFont="1" applyFill="1" applyBorder="1"/>
    <x:xf numFmtId="0" fontId="0" fillId="7" borderId="1" xfId="0" applyNumberFormat="1" applyFont="1" applyFill="1" applyBorder="1"/>
    <x:xf numFmtId="0" fontId="0" fillId="0" borderId="0" xfId="0" applyNumberFormat="1" applyFont="1" applyFill="1" applyBorder="1" applyAlignment="1">
      <x:alignment horizontal="left" vertical="center" wrapText="1"/>
    </x:xf>
    <x:xf numFmtId="0" fontId="0" fillId="0" borderId="0"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horizontal="left" vertical="center"/>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0" fontId="0" fillId="0"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vertical="center"/>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center" wrapText="1"/>
    </x:xf>
    <x:xf numFmtId="0" fontId="8" fillId="0" borderId="0" xfId="0" applyNumberFormat="1" applyFont="1" applyFill="1" applyBorder="1" applyAlignment="1">
      <x:alignment wrapText="1"/>
    </x:xf>
    <x:xf numFmtId="0" fontId="0" fillId="11" borderId="0" xfId="0" applyNumberFormat="1" applyFont="1" applyFill="1" applyBorder="1" applyAlignment="1">
      <x:alignment wrapText="1"/>
    </x:xf>
    <x:xf numFmtId="0" fontId="8" fillId="11" borderId="0"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7" fillId="12" borderId="0" xfId="0" applyNumberFormat="1" applyFont="1" applyFill="1" applyBorder="1" applyAlignment="1">
      <x:alignment wrapText="1"/>
    </x:xf>
    <x:xf numFmtId="0" fontId="7" fillId="12" borderId="0" xfId="0" applyNumberFormat="1" applyFont="1" applyFill="1" applyBorder="1" applyAlignment="1">
      <x:alignment vertical="center" wrapText="1"/>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wrapText="1"/>
    </x:xf>
    <x:xf numFmtId="0" fontId="9" fillId="13" borderId="0" xfId="0" applyNumberFormat="1" applyFont="1" applyFill="1" applyBorder="1" applyAlignment="1">
      <x:alignment vertical="center" wrapText="1"/>
    </x:xf>
    <x:xf numFmtId="0" fontId="1" fillId="8" borderId="0" xfId="0" applyNumberFormat="1" applyFont="1" applyFill="1" applyBorder="1" applyAlignment="1">
      <x:alignment vertical="center"/>
    </x:xf>
    <x:xf numFmtId="0" fontId="10" fillId="8" borderId="0" xfId="0" applyNumberFormat="1" applyFont="1" applyFill="1" applyBorder="1" applyAlignment="1">
      <x:alignment vertical="center"/>
    </x:xf>
    <x:xf numFmtId="0" fontId="10" fillId="8" borderId="0" xfId="0" applyNumberFormat="1" applyFont="1" applyFill="1" applyBorder="1" applyAlignment="1">
      <x:alignment vertical="center" wrapText="1"/>
    </x:xf>
    <x:xf numFmtId="0" fontId="0" fillId="14" borderId="0" xfId="0" applyNumberFormat="1" applyFont="1" applyFill="1" applyBorder="1" applyAlignment="1">
      <x:alignment horizontal="left" vertical="center" wrapText="1"/>
    </x:xf>
    <x:xf numFmtId="0" fontId="6" fillId="14" borderId="0" xfId="0" applyNumberFormat="1" applyFont="1" applyFill="1" applyBorder="1" applyAlignment="1">
      <x:alignment horizontal="left" vertical="center" wrapText="1"/>
    </x:xf>
    <x:xf numFmtId="0" fontId="11" fillId="14" borderId="0" xfId="0" applyNumberFormat="1" applyFont="1" applyFill="1" applyBorder="1" applyAlignment="1">
      <x:alignment horizontal="left" vertical="center" wrapText="1"/>
    </x:xf>
    <x:xf numFmtId="0" fontId="11" fillId="14"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8" fillId="0" borderId="0" xfId="0" applyNumberFormat="1" applyFont="1" applyFill="1" applyBorder="1" applyAlignment="1">
      <x:alignment vertical="center" wrapText="1"/>
    </x:xf>
    <x:xf numFmtId="0" fontId="8" fillId="11" borderId="0" xfId="0" applyNumberFormat="1" applyFont="1" applyFill="1" applyBorder="1" applyAlignment="1">
      <x:alignment vertical="center" wrapText="1"/>
    </x:xf>
    <x:xf numFmtId="0" fontId="0" fillId="11"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4" fillId="4" borderId="0" xfId="0" applyNumberFormat="1" applyFont="1" applyFill="1" applyBorder="1" applyAlignment="1">
      <x:alignment vertical="center"/>
    </x:xf>
  </x:cellXfs>
  <x:cellStyles count="1">
    <x:cellStyle name="Normal" xfId="0"/>
  </x:cellStyles>
  <x:dxfs count="34">
    <x:dxf/>
    <x:dxf/>
    <x:dxf/>
    <x:dxf/>
    <x:dxf/>
    <x:dxf/>
    <x:dxf/>
    <x:dxf/>
    <x:dxf/>
    <x:dxf/>
    <x:dxf/>
    <x:dxf/>
    <x:dxf/>
    <x:dxf>
      <x:font>
        <x:u val="none"/>
        <x:sz val="12"/>
        <x:color theme="1"/>
        <x:name val="Aptos Narrow"/>
        <x:family val="2"/>
        <x:scheme val="minor"/>
      </x:font>
    </x:dxf>
    <x:dxf/>
    <x:dxf/>
    <x:dxf/>
    <x:dxf/>
    <x:dxf/>
    <x:dxf/>
    <x:dxf/>
    <x:dxf/>
    <x:dxf/>
    <x:dxf/>
    <x:dxf/>
    <x:dxf/>
    <x:dxf/>
    <x:dxf/>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a6638bbe865d4531" /><Relationship Type="http://schemas.openxmlformats.org/officeDocument/2006/relationships/theme" Target="/xl/theme/theme1.xml" Id="R2d7832bc05bd4b94" /><Relationship Type="http://schemas.openxmlformats.org/officeDocument/2006/relationships/sharedStrings" Target="/xl/sharedStrings.xml" Id="R8b1e19027a624dec" /><Relationship Type="http://schemas.openxmlformats.org/officeDocument/2006/relationships/worksheet" Target="/xl/worksheets/sheet1.xml" Id="R46260800f22d428e" /><Relationship Type="http://schemas.openxmlformats.org/officeDocument/2006/relationships/worksheet" Target="/xl/worksheets/sheet2.xml" Id="Ra6b8981094884852" /><Relationship Type="http://schemas.openxmlformats.org/officeDocument/2006/relationships/worksheet" Target="/xl/worksheets/sheet3.xml" Id="R1d404c05ffa64cf6" /><Relationship Type="http://schemas.openxmlformats.org/officeDocument/2006/relationships/worksheet" Target="/xl/worksheets/sheet4.xml" Id="R5a58d8e7ccc84f0e" /><Relationship Type="http://schemas.openxmlformats.org/officeDocument/2006/relationships/worksheet" Target="/xl/worksheets/sheet5.xml" Id="R530d464c87fb465e" /><Relationship Type="http://schemas.openxmlformats.org/officeDocument/2006/relationships/worksheet" Target="/xl/worksheets/sheet6.xml" Id="Rc97ec3b397894937" /><Relationship Type="http://schemas.openxmlformats.org/officeDocument/2006/relationships/worksheet" Target="/xl/worksheets/sheet7.xml" Id="R01140e66dd0e43e4" /><Relationship Type="http://schemas.openxmlformats.org/officeDocument/2006/relationships/worksheet" Target="/xl/worksheets/sheet8.xml" Id="R47efa72a150e43d0" /><Relationship Type="http://schemas.openxmlformats.org/officeDocument/2006/relationships/worksheet" Target="/xl/worksheets/sheet9.xml" Id="R9dcfb77d96ff4deb" /><Relationship Type="http://schemas.openxmlformats.org/officeDocument/2006/relationships/worksheet" Target="/xl/worksheets/sheet10.xml" Id="R0c3bb2bf6e3e43ec" /><Relationship Type="http://schemas.openxmlformats.org/officeDocument/2006/relationships/worksheet" Target="/xl/worksheets/sheet11.xml" Id="R6f5b4bcfdda14f72" /><Relationship Type="http://schemas.openxmlformats.org/officeDocument/2006/relationships/worksheet" Target="/xl/worksheets/sheet12.xml" Id="R40049441f2664812" /><Relationship Type="http://schemas.openxmlformats.org/officeDocument/2006/relationships/worksheet" Target="/xl/worksheets/sheet13.xml" Id="Rb913c5ff050843af" /><Relationship Type="http://schemas.openxmlformats.org/officeDocument/2006/relationships/worksheet" Target="/xl/worksheets/sheet14.xml" Id="R85711b3a4c13437c" /><Relationship Type="http://schemas.openxmlformats.org/officeDocument/2006/relationships/worksheet" Target="/xl/worksheets/sheet15.xml" Id="R4ac0305e33a64e90" /><Relationship Type="http://schemas.openxmlformats.org/officeDocument/2006/relationships/worksheet" Target="/xl/worksheets/sheet16.xml" Id="R51dbd7386cc24fb1" /><Relationship Type="http://schemas.openxmlformats.org/officeDocument/2006/relationships/worksheet" Target="/xl/worksheets/sheet17.xml" Id="Rfbd7e36b18a84636" /></Relationships>
</file>

<file path=xl/tables/table1.xml><?xml version="1.0" encoding="utf-8"?>
<x:table xmlns:x="http://schemas.openxmlformats.org/spreadsheetml/2006/main" id="2" name="Table2" displayName="Table2" ref="A1:G11" totalsRowShown="0">
  <x:autoFilter ref="A1:G11"/>
  <x:tableColumns count="7">
    <x:tableColumn id="1" name="Requirement_ID"/>
    <x:tableColumn id="2" name="Business_Requirement"/>
    <x:tableColumn id="3" name="Stakeholder"/>
    <x:tableColumn id="4" name="Priority"/>
    <x:tableColumn id="5" name="Verification_Method"/>
    <x:tableColumn id="6" name="Implementation_Status"/>
    <x:tableColumn id="7" name="Approval_Status"/>
  </x:tableColumns>
  <x:tableStyleInfo name="TableStyleMedium2" showFirstColumn="0" showLastColumn="0" showRowStripes="1" showColumnStripes="0"/>
</x:table>
</file>

<file path=xl/tables/table2.xml><?xml version="1.0" encoding="utf-8"?>
<x:table xmlns:x="http://schemas.openxmlformats.org/spreadsheetml/2006/main" id="3" name="tbl_Stakeholder_Clarifications" displayName="tbl_Stakeholder_Clarifications" ref="A1:F11" totalsRowShown="0" dataDxfId="24">
  <x:autoFilter ref="A1:F11"/>
  <x:tableColumns count="6">
    <x:tableColumn id="1" name="Clarification_ID" dataDxfId="23"/>
    <x:tableColumn id="2" name="Requirement_ID" dataDxfId="22"/>
    <x:tableColumn id="3" name="Stakeholder" dataDxfId="21"/>
    <x:tableColumn id="4" name="Clarification_Question" dataDxfId="20"/>
    <x:tableColumn id="5" name="Proposed_Business_Rule" dataDxfId="19"/>
    <x:tableColumn id="6" name="Status" dataDxfId="18"/>
  </x:tableColumns>
  <x:tableStyleInfo name="TableStyleMedium2" showFirstColumn="0" showLastColumn="0" showRowStripes="1" showColumnStripes="0"/>
</x:table>
</file>

<file path=xl/tables/table3.xml><?xml version="1.0" encoding="utf-8"?>
<x:table xmlns:x="http://schemas.openxmlformats.org/spreadsheetml/2006/main" id="4" name="tbl_Requirement_Traceability" displayName="tbl_Requirement_Traceability" ref="A1:J11" totalsRowShown="0">
  <x:autoFilter ref="A1:J11"/>
  <x:tableColumns count="10">
    <x:tableColumn id="1" name="Requirement_ID"/>
    <x:tableColumn id="2" name="Requirement_Summary"/>
    <x:tableColumn id="3" name="Implementation_Reference"/>
    <x:tableColumn id="4" name="Technical_Evidence"/>
    <x:tableColumn id="5" name="Implementation_Status"/>
    <x:tableColumn id="6" name="Formal_UAT"/>
    <x:tableColumn id="7" name="FRD_ID" dataDxfId="17"/>
    <x:tableColumn id="8" name="BRD_Reference" dataDxfId="16"/>
    <x:tableColumn id="9" name="FRD_Reference" dataDxfId="15"/>
    <x:tableColumn id="10" name="Mapping_Status" dataDxfId="14"/>
  </x:tableColumns>
  <x:tableStyleInfo name="TableStyleMedium2" showFirstColumn="0" showLastColumn="0" showRowStripes="1" showColumnStripes="0"/>
</x:table>
</file>

<file path=xl/tables/table4.xml><?xml version="1.0" encoding="utf-8"?>
<x:table xmlns:x="http://schemas.openxmlformats.org/spreadsheetml/2006/main" id="5" name="tbl_Business_Rules" displayName="tbl_Business_Rules" ref="A1:F11" totalsRowShown="0">
  <x:autoFilter ref="A1:F11"/>
  <x:tableColumns count="6">
    <x:tableColumn id="1" name="Rule_ID"/>
    <x:tableColumn id="2" name="Requirement_ID"/>
    <x:tableColumn id="3" name="Business_Rule"/>
    <x:tableColumn id="4" name="Expected_System_Behavior"/>
    <x:tableColumn id="5" name="Priority"/>
    <x:tableColumn id="6" name="Confirmation_Status"/>
  </x:tableColumns>
  <x:tableStyleInfo name="TableStyleMedium2" showFirstColumn="0" showLastColumn="0" showRowStripes="1" showColumnStripes="0"/>
</x:table>
</file>

<file path=xl/tables/table5.xml><?xml version="1.0" encoding="utf-8"?>
<x:table xmlns:x="http://schemas.openxmlformats.org/spreadsheetml/2006/main" id="1" name="tbl_Agile_User_Stories" displayName="tbl_Agile_User_Stories" ref="A1:F11" totalsRowShown="0">
  <x:autoFilter ref="A1:F11"/>
  <x:tableColumns count="6">
    <x:tableColumn id="1" name="Story_ID"/>
    <x:tableColumn id="2" name="Requirement_ID"/>
    <x:tableColumn id="3" name="Role"/>
    <x:tableColumn id="4" name="User_Story"/>
    <x:tableColumn id="5" name="Priority"/>
    <x:tableColumn id="6" name="Story_Status"/>
  </x:tableColumns>
  <x:tableStyleInfo name="TableStyleMedium2" showFirstColumn="0" showLastColumn="0" showRowStripes="1" showColumnStripes="0"/>
</x:table>
</file>

<file path=xl/tables/table6.xml><?xml version="1.0" encoding="utf-8"?>
<x:table xmlns:x="http://schemas.openxmlformats.org/spreadsheetml/2006/main" id="6" name="tbl_Acceptance_Criteria" displayName="tbl_Acceptance_Criteria" ref="A1:G16" totalsRowShown="0">
  <x:autoFilter ref="A1:G16"/>
  <x:tableColumns count="7">
    <x:tableColumn id="1" name="AC_ID"/>
    <x:tableColumn id="2" name="Story_ID"/>
    <x:tableColumn id="3" name="Given"/>
    <x:tableColumn id="4" name="When"/>
    <x:tableColumn id="5" name="Then"/>
    <x:tableColumn id="6" name="Priority"/>
    <x:tableColumn id="7" name="Status"/>
  </x:tableColumns>
  <x:tableStyleInfo name="TableStyleMedium2" showFirstColumn="0" showLastColumn="0" showRowStripes="1" showColumnStripes="0"/>
</x:table>
</file>

<file path=xl/tables/table7.xml><?xml version="1.0" encoding="utf-8"?>
<x:table xmlns:x="http://schemas.openxmlformats.org/spreadsheetml/2006/main" id="7" name="tbl_UAT_Test_Cases" displayName="tbl_UAT_Test_Cases" ref="A1:H16" totalsRowShown="0" dataDxfId="12">
  <x:autoFilter ref="A1:H16"/>
  <x:tableColumns count="8">
    <x:tableColumn id="1" name="Test_Case_ID" dataDxfId="11"/>
    <x:tableColumn id="2" name="AC_ID" dataDxfId="10"/>
    <x:tableColumn id="3" name="Test_Scenario" dataDxfId="9"/>
    <x:tableColumn id="4" name="Test_Steps" dataDxfId="8"/>
    <x:tableColumn id="5" name="Expected_Result" dataDxfId="7"/>
    <x:tableColumn id="6" name="Test_Status" dataDxfId="6"/>
    <x:tableColumn id="7" name="Actual_Result" dataDxfId="5"/>
    <x:tableColumn id="8" name="Evidence" dataDxfId="4"/>
  </x:tableColumns>
  <x:tableStyleInfo name="TableStyleMedium2" showFirstColumn="0" showLastColumn="0" showRowStripes="1" showColumnStripes="0"/>
</x:table>
</file>

<file path=xl/tables/table8.xml><?xml version="1.0" encoding="utf-8"?>
<x:table xmlns:x="http://schemas.openxmlformats.org/spreadsheetml/2006/main" id="8" name="tbl_UAT_Defects" displayName="tbl_UAT_Defects" ref="A1:H2" totalsRowShown="0">
  <x:autoFilter ref="A1:H2"/>
  <x:tableColumns count="8">
    <x:tableColumn id="1" name="Defect_ID"/>
    <x:tableColumn id="2" name="Test_Reference"/>
    <x:tableColumn id="3" name="Issue_Description"/>
    <x:tableColumn id="4" name="Severity"/>
    <x:tableColumn id="5" name="Root_Cause"/>
    <x:tableColumn id="6" name="Corrective_Action"/>
    <x:tableColumn id="7" name="Status"/>
    <x:tableColumn id="8" name="Evidence"/>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B8" totalsRowShown="0">
  <x:autoFilter ref="A1:B8"/>
  <x:tableColumns count="2">
    <x:tableColumn id="1" name="UAT_Metric"/>
    <x:tableColumn id="2" name="Value"/>
  </x:tableColumns>
  <x:tableStyleInfo name="TableStyleMedium2" showFirstColumn="0" showLastColumn="0" showRowStripes="1" showColumnStripes="0"/>
</x:table>
</file>

<file path=xl/tables/table10.xml><?xml version="1.0" encoding="utf-8"?>
<x:table xmlns:x="http://schemas.openxmlformats.org/spreadsheetml/2006/main" id="10" name="tbl_QuickKart_Gap_Analysis" displayName="tbl_QuickKart_Gap_Analysis" ref="A1:H11" totalsRowShown="0" dataDxfId="33">
  <x:autoFilter ref="A1:H11"/>
  <x:tableColumns count="8">
    <x:tableColumn id="1" name="Gap_ID" dataDxfId="32"/>
    <x:tableColumn id="2" name="Process_Area" dataDxfId="31"/>
    <x:tableColumn id="3" name="AS_IS_Manual_Process" dataDxfId="30"/>
    <x:tableColumn id="4" name="TO_BE_Improved_Process" dataDxfId="29"/>
    <x:tableColumn id="5" name="Identified_Gap" dataDxfId="28"/>
    <x:tableColumn id="6" name="Expected_Business_Benefit" dataDxfId="27"/>
    <x:tableColumn id="7" name="Implementation_Status" dataDxfId="26"/>
    <x:tableColumn id="8" name="Related_Requirement" dataDxfId="25"/>
  </x:tableColumns>
  <x:tableStyleInfo name="TableStyleMedium2" showFirstColumn="0" showLastColumn="0" showRowStripes="1" showColumnStripes="0"/>
</x:table>
</file>

<file path=xl/tables/table11.xml><?xml version="1.0" encoding="utf-8"?>
<x:table xmlns:x="http://schemas.openxmlformats.org/spreadsheetml/2006/main" id="11" name="tbl_QuickKart_KPI_Definitions" displayName="tbl_QuickKart_KPI_Definitions" ref="A1:G10" totalsRowShown="0">
  <x:autoFilter ref="A1:G10"/>
  <x:tableColumns count="7">
    <x:tableColumn id="1" name="KPI_ID"/>
    <x:tableColumn id="2" name="KPI_Name"/>
    <x:tableColumn id="3" name="Business_Question"/>
    <x:tableColumn id="4" name="Calculation"/>
    <x:tableColumn id="5" name="Data_Source"/>
    <x:tableColumn id="6" name="Business_Decision"/>
    <x:tableColumn id="7" name="Target_Status"/>
  </x:tableColumns>
  <x:tableStyleInfo name="TableStyleMedium2" showFirstColumn="0" showLastColumn="0" showRowStripes="1" showColumnStripes="0"/>
</x:table>
</file>

<file path=xl/tables/table12.xml><?xml version="1.0" encoding="utf-8"?>
<x:table xmlns:x="http://schemas.openxmlformats.org/spreadsheetml/2006/main" id="12" name="tbl_QuickKart_RCA_5Whys" displayName="tbl_QuickKart_RCA_5Whys" ref="A1:F7" totalsRowShown="0">
  <x:autoFilter ref="A1:F7"/>
  <x:tableColumns count="6">
    <x:tableColumn id="1" name="Level"/>
    <x:tableColumn id="2" name="Business_Question"/>
    <x:tableColumn id="3" name="Analysis_or_Finding"/>
    <x:tableColumn id="4" name="Evidence_Status"/>
    <x:tableColumn id="5" name="Evidence_or_Validation"/>
    <x:tableColumn id="6" name="Next_Action"/>
  </x:tableColumns>
  <x:tableStyleInfo name="TableStyleMedium2" showFirstColumn="0" showLastColumn="0" showRowStripes="1" showColumnStripes="0"/>
</x:table>
</file>

<file path=xl/tables/table13.xml><?xml version="1.0" encoding="utf-8"?>
<x:table xmlns:x="http://schemas.openxmlformats.org/spreadsheetml/2006/main" id="13" name="tbl_QuickKart_RCA_Findings" displayName="tbl_QuickKart_RCA_Findings" ref="A1:G9" totalsRowShown="0">
  <x:autoFilter ref="A1:G9"/>
  <x:tableColumns count="7">
    <x:tableColumn id="1" name="Finding_ID"/>
    <x:tableColumn id="2" name="Business_Finding" dataDxfId="3"/>
    <x:tableColumn id="3" name="Evidence" dataDxfId="2"/>
    <x:tableColumn id="4" name="Business_Impact" dataDxfId="1"/>
    <x:tableColumn id="5" name="Recommended_Action" dataDxfId="0"/>
    <x:tableColumn id="6" name="Priority"/>
    <x:tableColumn id="7" name="Evidence_Status"/>
  </x:tableColumns>
  <x:tableStyleInfo name="TableStyleMedium2" showFirstColumn="0" showLastColumn="0" showRowStripes="1" showColumnStripes="0"/>
</x:table>
</file>

<file path=xl/tables/table14.xml><?xml version="1.0" encoding="utf-8"?>
<x:table xmlns:x="http://schemas.openxmlformats.org/spreadsheetml/2006/main" id="14" name="tbl_QuickKart_Statistical_Findings" displayName="tbl_QuickKart_Statistical_Findings" ref="A1:F11" totalsRowShown="0">
  <x:autoFilter ref="A1:F11"/>
  <x:tableColumns count="6">
    <x:tableColumn id="1" name="Finding_ID"/>
    <x:tableColumn id="2" name="Statistical_Measure"/>
    <x:tableColumn id="3" name="Evidence"/>
    <x:tableColumn id="4" name="Business_Interpretation"/>
    <x:tableColumn id="5" name="Recommended_Action"/>
    <x:tableColumn id="6" name="Evidence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92f5e1b7a24f65" /></Relationships>
</file>

<file path=xl/worksheets/_rels/sheet2.xml.rels>&#65279;<?xml version="1.0" encoding="utf-8"?><Relationships xmlns="http://schemas.openxmlformats.org/package/2006/relationships"><Relationship Type="http://schemas.openxmlformats.org/officeDocument/2006/relationships/table" Target="/xl/tables/table2.xml" Id="R427d43b04497496e" /></Relationships>
</file>

<file path=xl/worksheets/_rels/sheet3.xml.rels>&#65279;<?xml version="1.0" encoding="utf-8"?><Relationships xmlns="http://schemas.openxmlformats.org/package/2006/relationships"><Relationship Type="http://schemas.openxmlformats.org/officeDocument/2006/relationships/table" Target="/xl/tables/table3.xml" Id="Rb75495701a984af8" /></Relationships>
</file>

<file path=xl/worksheets/_rels/sheet4.xml.rels>&#65279;<?xml version="1.0" encoding="utf-8"?><Relationships xmlns="http://schemas.openxmlformats.org/package/2006/relationships"><Relationship Type="http://schemas.openxmlformats.org/officeDocument/2006/relationships/table" Target="/xl/tables/table4.xml" Id="R9b2f00aadf5d4f9f" /></Relationships>
</file>

<file path=xl/worksheets/_rels/sheet5.xml.rels>&#65279;<?xml version="1.0" encoding="utf-8"?><Relationships xmlns="http://schemas.openxmlformats.org/package/2006/relationships"><Relationship Type="http://schemas.openxmlformats.org/officeDocument/2006/relationships/table" Target="/xl/tables/table5.xml" Id="R51e8e214724045d8" /></Relationships>
</file>

<file path=xl/worksheets/_rels/sheet6.xml.rels>&#65279;<?xml version="1.0" encoding="utf-8"?><Relationships xmlns="http://schemas.openxmlformats.org/package/2006/relationships"><Relationship Type="http://schemas.openxmlformats.org/officeDocument/2006/relationships/table" Target="/xl/tables/table6.xml" Id="R3bdcfce6035b4ad2" /></Relationships>
</file>

<file path=xl/worksheets/_rels/sheet7.xml.rels>&#65279;<?xml version="1.0" encoding="utf-8"?><Relationships xmlns="http://schemas.openxmlformats.org/package/2006/relationships"><Relationship Type="http://schemas.openxmlformats.org/officeDocument/2006/relationships/table" Target="/xl/tables/table7.xml" Id="R15c008d8b05148b9" /></Relationships>
</file>

<file path=xl/worksheets/_rels/sheet8.xml.rels>&#65279;<?xml version="1.0" encoding="utf-8"?><Relationships xmlns="http://schemas.openxmlformats.org/package/2006/relationships"><Relationship Type="http://schemas.openxmlformats.org/officeDocument/2006/relationships/table" Target="/xl/tables/table8.xml" Id="R7b07b5489fc34580" /></Relationships>
</file>

<file path=xl/worksheets/_rels/sheet9.xml.rels>&#65279;<?xml version="1.0" encoding="utf-8"?><Relationships xmlns="http://schemas.openxmlformats.org/package/2006/relationships"><Relationship Type="http://schemas.openxmlformats.org/officeDocument/2006/relationships/table" Target="/xl/tables/table9.xml" Id="Ref44532dff09449a" /></Relationships>
</file>

<file path=xl/worksheets/_rels/sheet10.xml.rels>&#65279;<?xml version="1.0" encoding="utf-8"?><Relationships xmlns="http://schemas.openxmlformats.org/package/2006/relationships"><Relationship Type="http://schemas.openxmlformats.org/officeDocument/2006/relationships/table" Target="/xl/tables/table10.xml" Id="R5265c2a136cd4f86" /></Relationships>
</file>

<file path=xl/worksheets/_rels/sheet11.xml.rels>&#65279;<?xml version="1.0" encoding="utf-8"?><Relationships xmlns="http://schemas.openxmlformats.org/package/2006/relationships"><Relationship Type="http://schemas.openxmlformats.org/officeDocument/2006/relationships/table" Target="/xl/tables/table11.xml" Id="R4db6256851014429" /></Relationships>
</file>

<file path=xl/worksheets/_rels/sheet12.xml.rels>&#65279;<?xml version="1.0" encoding="utf-8"?><Relationships xmlns="http://schemas.openxmlformats.org/package/2006/relationships"><Relationship Type="http://schemas.openxmlformats.org/officeDocument/2006/relationships/table" Target="/xl/tables/table12.xml" Id="Rdc659f951b034897" /></Relationships>
</file>

<file path=xl/worksheets/_rels/sheet13.xml.rels>&#65279;<?xml version="1.0" encoding="utf-8"?><Relationships xmlns="http://schemas.openxmlformats.org/package/2006/relationships"><Relationship Type="http://schemas.openxmlformats.org/officeDocument/2006/relationships/table" Target="/xl/tables/table13.xml" Id="Reae182ec454d4cb5" /></Relationships>
</file>

<file path=xl/worksheets/_rels/sheet14.xml.rels>&#65279;<?xml version="1.0" encoding="utf-8"?><Relationships xmlns="http://schemas.openxmlformats.org/package/2006/relationships"><Relationship Type="http://schemas.openxmlformats.org/officeDocument/2006/relationships/table" Target="/xl/tables/table14.xml" Id="R0a9c7f6a9bdd47dc" /></Relationships>
</file>

<file path=xl/worksheets/sheet1.xml><?xml version="1.0" encoding="utf-8"?>
<x:worksheet xmlns:x="http://schemas.openxmlformats.org/spreadsheetml/2006/main">
  <x:sheetFormatPr defaultRowHeight="15"/>
  <x:cols>
    <x:col min="1" max="1" width="17.85546875" customWidth="1"/>
    <x:col min="2" max="2" width="68.28515625" customWidth="1"/>
    <x:col min="3" max="3" width="19.28515625" customWidth="1"/>
    <x:col min="4" max="4" width="9.7109375" customWidth="1"/>
    <x:col min="5" max="5" width="35.28515625" customWidth="1"/>
    <x:col min="6" max="6" width="24.140625" customWidth="1"/>
    <x:col min="7" max="7" width="17.5703125" customWidth="1"/>
  </x:cols>
  <x:sheetData>
    <x:row r="1">
      <x:c r="A1" t="s">
        <x:v>0</x:v>
      </x:c>
      <x:c r="B1" t="s">
        <x:v>1</x:v>
      </x:c>
      <x:c r="C1" t="s">
        <x:v>2</x:v>
      </x:c>
      <x:c r="D1" t="s">
        <x:v>3</x:v>
      </x:c>
      <x:c r="E1" t="s">
        <x:v>4</x:v>
      </x:c>
      <x:c r="F1" t="s">
        <x:v>5</x:v>
      </x:c>
      <x:c r="G1" t="s">
        <x:v>6</x:v>
      </x:c>
    </x:row>
    <x:row r="2">
      <x:c r="A2" t="s">
        <x:v>7</x:v>
      </x:c>
      <x:c r="B2" t="s">
        <x:v>8</x:v>
      </x:c>
      <x:c r="C2" t="s">
        <x:v>9</x:v>
      </x:c>
      <x:c r="D2" t="s">
        <x:v>10</x:v>
      </x:c>
      <x:c r="E2" t="s">
        <x:v>11</x:v>
      </x:c>
      <x:c r="F2" t="s">
        <x:v>12</x:v>
      </x:c>
      <x:c r="G2" t="s">
        <x:v>13</x:v>
      </x:c>
    </x:row>
    <x:row r="3">
      <x:c r="A3" t="s">
        <x:v>14</x:v>
      </x:c>
      <x:c r="B3" t="s">
        <x:v>15</x:v>
      </x:c>
      <x:c r="C3" t="s">
        <x:v>9</x:v>
      </x:c>
      <x:c r="D3" t="s">
        <x:v>10</x:v>
      </x:c>
      <x:c r="E3" t="s">
        <x:v>16</x:v>
      </x:c>
      <x:c r="F3" t="s">
        <x:v>12</x:v>
      </x:c>
      <x:c r="G3" t="s">
        <x:v>13</x:v>
      </x:c>
    </x:row>
    <x:row r="4">
      <x:c r="A4" t="s">
        <x:v>17</x:v>
      </x:c>
      <x:c r="B4" t="s">
        <x:v>18</x:v>
      </x:c>
      <x:c r="C4" t="s">
        <x:v>19</x:v>
      </x:c>
      <x:c r="D4" t="s">
        <x:v>10</x:v>
      </x:c>
      <x:c r="E4" t="s">
        <x:v>20</x:v>
      </x:c>
      <x:c r="F4" t="s">
        <x:v>12</x:v>
      </x:c>
      <x:c r="G4" t="s">
        <x:v>13</x:v>
      </x:c>
    </x:row>
    <x:row r="5">
      <x:c r="A5" t="s">
        <x:v>21</x:v>
      </x:c>
      <x:c r="B5" t="s">
        <x:v>22</x:v>
      </x:c>
      <x:c r="C5" t="s">
        <x:v>9</x:v>
      </x:c>
      <x:c r="D5" t="s">
        <x:v>10</x:v>
      </x:c>
      <x:c r="E5" t="s">
        <x:v>23</x:v>
      </x:c>
      <x:c r="F5" t="s">
        <x:v>12</x:v>
      </x:c>
      <x:c r="G5" t="s">
        <x:v>13</x:v>
      </x:c>
    </x:row>
    <x:row r="6">
      <x:c r="A6" t="s">
        <x:v>24</x:v>
      </x:c>
      <x:c r="B6" t="s">
        <x:v>25</x:v>
      </x:c>
      <x:c r="C6" t="s">
        <x:v>19</x:v>
      </x:c>
      <x:c r="D6" t="s">
        <x:v>10</x:v>
      </x:c>
      <x:c r="E6" t="s">
        <x:v>26</x:v>
      </x:c>
      <x:c r="F6" t="s">
        <x:v>12</x:v>
      </x:c>
      <x:c r="G6" t="s">
        <x:v>13</x:v>
      </x:c>
    </x:row>
    <x:row r="7">
      <x:c r="A7" t="s">
        <x:v>27</x:v>
      </x:c>
      <x:c r="B7" t="s">
        <x:v>28</x:v>
      </x:c>
      <x:c r="C7" t="s">
        <x:v>29</x:v>
      </x:c>
      <x:c r="D7" t="s">
        <x:v>10</x:v>
      </x:c>
      <x:c r="E7" t="s">
        <x:v>30</x:v>
      </x:c>
      <x:c r="F7" t="s">
        <x:v>12</x:v>
      </x:c>
      <x:c r="G7" t="s">
        <x:v>13</x:v>
      </x:c>
    </x:row>
    <x:row r="8">
      <x:c r="A8" t="s">
        <x:v>31</x:v>
      </x:c>
      <x:c r="B8" t="s">
        <x:v>32</x:v>
      </x:c>
      <x:c r="C8" t="s">
        <x:v>29</x:v>
      </x:c>
      <x:c r="D8" t="s">
        <x:v>10</x:v>
      </x:c>
      <x:c r="E8" t="s">
        <x:v>33</x:v>
      </x:c>
      <x:c r="F8" t="s">
        <x:v>12</x:v>
      </x:c>
      <x:c r="G8" t="s">
        <x:v>13</x:v>
      </x:c>
    </x:row>
    <x:row r="9">
      <x:c r="A9" t="s">
        <x:v>34</x:v>
      </x:c>
      <x:c r="B9" t="s">
        <x:v>35</x:v>
      </x:c>
      <x:c r="C9" t="s">
        <x:v>36</x:v>
      </x:c>
      <x:c r="D9" t="s">
        <x:v>37</x:v>
      </x:c>
      <x:c r="E9" t="s">
        <x:v>38</x:v>
      </x:c>
      <x:c r="F9" t="s">
        <x:v>12</x:v>
      </x:c>
      <x:c r="G9" t="s">
        <x:v>13</x:v>
      </x:c>
    </x:row>
    <x:row r="10">
      <x:c r="A10" t="s">
        <x:v>39</x:v>
      </x:c>
      <x:c r="B10" t="s">
        <x:v>40</x:v>
      </x:c>
      <x:c r="C10" t="s">
        <x:v>9</x:v>
      </x:c>
      <x:c r="D10" t="s">
        <x:v>10</x:v>
      </x:c>
      <x:c r="E10" t="s">
        <x:v>41</x:v>
      </x:c>
      <x:c r="F10" t="s">
        <x:v>12</x:v>
      </x:c>
      <x:c r="G10" t="s">
        <x:v>13</x:v>
      </x:c>
    </x:row>
    <x:row r="11">
      <x:c r="A11" t="s">
        <x:v>42</x:v>
      </x:c>
      <x:c r="B11" t="s">
        <x:v>43</x:v>
      </x:c>
      <x:c r="C11" t="s">
        <x:v>44</x:v>
      </x:c>
      <x:c r="D11" t="s">
        <x:v>37</x:v>
      </x:c>
      <x:c r="E11" t="str">
        <x:v>Verify approved Neon data reconciliation and Power BI scheduled refresh history; fresh-batch order monitored separately</x:v>
      </x:c>
      <x:c r="F11" s="41" t="str">
        <x:v>Implemented - Cloud scheduled refresh tested</x:v>
      </x:c>
      <x:c r="G11" t="s">
        <x:v>13</x:v>
      </x:c>
    </x:row>
  </x:sheetData>
  <x:pageMargins left="0.7" right="0.7" top="0.75" bottom="0.75" header="0.3" footer="0.3"/>
  <x:tableParts count="1">
    <x:tablePart xmlns:r="http://schemas.openxmlformats.org/officeDocument/2006/relationships" r:id="R4d92f5e1b7a24f65"/>
  </x:tableParts>
</x:worksheet>
</file>

<file path=xl/worksheets/sheet2.xml><?xml version="1.0" encoding="utf-8"?>
<x:worksheet xmlns:x="http://schemas.openxmlformats.org/spreadsheetml/2006/main">
  <x:sheetFormatPr defaultRowHeight="15"/>
  <x:cols>
    <x:col min="1" max="1" width="19.7109375" customWidth="1"/>
    <x:col min="2" max="2" width="22.42578125" customWidth="1"/>
    <x:col min="3" max="3" width="29.85546875" customWidth="1"/>
    <x:col min="4" max="4" width="50" customWidth="1"/>
    <x:col min="5" max="5" width="83.5703125" customWidth="1"/>
    <x:col min="6" max="6" width="20.42578125" customWidth="1"/>
  </x:cols>
  <x:sheetData>
    <x:row r="1">
      <x:c r="A1" t="s">
        <x:v>45</x:v>
      </x:c>
      <x:c r="B1" t="s">
        <x:v>0</x:v>
      </x:c>
      <x:c r="C1" t="s">
        <x:v>2</x:v>
      </x:c>
      <x:c r="D1" t="s">
        <x:v>46</x:v>
      </x:c>
      <x:c r="E1" t="s">
        <x:v>47</x:v>
      </x:c>
      <x:c r="F1" t="s">
        <x:v>48</x:v>
      </x:c>
    </x:row>
    <x:row r="2">
      <x:c r="A2" s="1" t="s">
        <x:v>49</x:v>
      </x:c>
      <x:c r="B2" s="1" t="s">
        <x:v>7</x:v>
      </x:c>
      <x:c r="C2" s="1" t="s">
        <x:v>9</x:v>
      </x:c>
      <x:c r="D2" s="1" t="s">
        <x:v>50</x:v>
      </x:c>
      <x:c r="E2" s="1" t="s">
        <x:v>51</x:v>
      </x:c>
      <x:c r="F2" s="1" t="s">
        <x:v>52</x:v>
      </x:c>
    </x:row>
    <x:row r="3">
      <x:c r="A3" s="1" t="s">
        <x:v>53</x:v>
      </x:c>
      <x:c r="B3" s="1" t="s">
        <x:v>14</x:v>
      </x:c>
      <x:c r="C3" s="1" t="s">
        <x:v>9</x:v>
      </x:c>
      <x:c r="D3" s="1" t="s">
        <x:v>54</x:v>
      </x:c>
      <x:c r="E3" s="1" t="s">
        <x:v>55</x:v>
      </x:c>
      <x:c r="F3" s="1" t="s">
        <x:v>52</x:v>
      </x:c>
    </x:row>
    <x:row r="4">
      <x:c r="A4" s="1" t="s">
        <x:v>56</x:v>
      </x:c>
      <x:c r="B4" s="1" t="s">
        <x:v>17</x:v>
      </x:c>
      <x:c r="C4" s="1" t="s">
        <x:v>19</x:v>
      </x:c>
      <x:c r="D4" s="1" t="s">
        <x:v>57</x:v>
      </x:c>
      <x:c r="E4" s="1" t="s">
        <x:v>58</x:v>
      </x:c>
      <x:c r="F4" s="1" t="s">
        <x:v>52</x:v>
      </x:c>
    </x:row>
    <x:row r="5">
      <x:c r="A5" s="1" t="s">
        <x:v>59</x:v>
      </x:c>
      <x:c r="B5" s="1" t="s">
        <x:v>17</x:v>
      </x:c>
      <x:c r="C5" s="1" t="s">
        <x:v>36</x:v>
      </x:c>
      <x:c r="D5" s="1" t="s">
        <x:v>60</x:v>
      </x:c>
      <x:c r="E5" s="1" t="s">
        <x:v>61</x:v>
      </x:c>
      <x:c r="F5" s="1" t="s">
        <x:v>52</x:v>
      </x:c>
    </x:row>
    <x:row r="6">
      <x:c r="A6" s="1" t="s">
        <x:v>62</x:v>
      </x:c>
      <x:c r="B6" s="1" t="s">
        <x:v>21</x:v>
      </x:c>
      <x:c r="C6" s="1" t="s">
        <x:v>9</x:v>
      </x:c>
      <x:c r="D6" s="1" t="s">
        <x:v>63</x:v>
      </x:c>
      <x:c r="E6" s="1" t="s">
        <x:v>64</x:v>
      </x:c>
      <x:c r="F6" s="1" t="s">
        <x:v>52</x:v>
      </x:c>
    </x:row>
    <x:row r="7">
      <x:c r="A7" s="1" t="s">
        <x:v>65</x:v>
      </x:c>
      <x:c r="B7" s="1" t="s">
        <x:v>24</x:v>
      </x:c>
      <x:c r="C7" s="1" t="s">
        <x:v>19</x:v>
      </x:c>
      <x:c r="D7" s="1" t="s">
        <x:v>66</x:v>
      </x:c>
      <x:c r="E7" s="1" t="s">
        <x:v>67</x:v>
      </x:c>
      <x:c r="F7" s="1" t="s">
        <x:v>52</x:v>
      </x:c>
    </x:row>
    <x:row r="8" ht="62" customHeight="1">
      <x:c r="A8" s="1" t="s">
        <x:v>68</x:v>
      </x:c>
      <x:c r="B8" s="1" t="s">
        <x:v>27</x:v>
      </x:c>
      <x:c r="C8" s="1" t="s">
        <x:v>36</x:v>
      </x:c>
      <x:c r="D8" s="1" t="s">
        <x:v>69</x:v>
      </x:c>
      <x:c r="E8" s="47" t="str">
        <x:v>Gross Profit = SUM(Units × (Product_Price - Product_Cost)); excludes operating expenses</x:v>
      </x:c>
      <x:c r="F8" s="1" t="s">
        <x:v>52</x:v>
      </x:c>
    </x:row>
    <x:row r="9">
      <x:c r="A9" s="1" t="s">
        <x:v>70</x:v>
      </x:c>
      <x:c r="B9" s="1" t="s">
        <x:v>31</x:v>
      </x:c>
      <x:c r="C9" s="1" t="s">
        <x:v>29</x:v>
      </x:c>
      <x:c r="D9" s="1" t="s">
        <x:v>71</x:v>
      </x:c>
      <x:c r="E9" s="1" t="s">
        <x:v>72</x:v>
      </x:c>
      <x:c r="F9" s="1" t="s">
        <x:v>52</x:v>
      </x:c>
    </x:row>
    <x:row r="10">
      <x:c r="A10" s="1" t="s">
        <x:v>73</x:v>
      </x:c>
      <x:c r="B10" s="1" t="s">
        <x:v>39</x:v>
      </x:c>
      <x:c r="C10" s="1" t="s">
        <x:v>9</x:v>
      </x:c>
      <x:c r="D10" s="1" t="s">
        <x:v>74</x:v>
      </x:c>
      <x:c r="E10" s="1" t="s">
        <x:v>75</x:v>
      </x:c>
      <x:c r="F10" s="1" t="s">
        <x:v>52</x:v>
      </x:c>
    </x:row>
    <x:row r="11" ht="62" customHeight="1">
      <x:c r="A11" s="1" t="s">
        <x:v>76</x:v>
      </x:c>
      <x:c r="B11" s="1" t="s">
        <x:v>42</x:v>
      </x:c>
      <x:c r="C11" s="1" t="s">
        <x:v>44</x:v>
      </x:c>
      <x:c r="D11" s="1" t="s">
        <x:v>77</x:v>
      </x:c>
      <x:c r="E11" s="47" t="str">
        <x:v>Target Power BI refresh: 10:00 AM IST after approved Neon load; verify production schedule restored after tests</x:v>
      </x:c>
      <x:c r="F11" s="1" t="s">
        <x:v>52</x:v>
      </x:c>
    </x:row>
  </x:sheetData>
  <x:pageMargins left="0.7" right="0.7" top="0.75" bottom="0.75" header="0.3" footer="0.3"/>
  <x:tableParts count="1">
    <x:tablePart xmlns:r="http://schemas.openxmlformats.org/officeDocument/2006/relationships" r:id="R427d43b04497496e"/>
  </x:tableParts>
</x:worksheet>
</file>

<file path=xl/worksheets/sheet3.xml><?xml version="1.0" encoding="utf-8"?>
<x:worksheet xmlns:x="http://schemas.openxmlformats.org/spreadsheetml/2006/main">
  <x:sheetFormatPr defaultRowHeight="15"/>
  <x:cols>
    <x:col min="1" max="1" width="22.28515625" customWidth="1"/>
    <x:col min="2" max="2" width="41.140625" customWidth="1"/>
    <x:col min="3" max="3" width="64.5703125" customWidth="1"/>
    <x:col min="4" max="4" width="49" customWidth="1"/>
    <x:col min="5" max="5" width="30.85546875" customWidth="1"/>
    <x:col min="6" max="6" width="18.28515625" customWidth="1"/>
    <x:col min="7" max="7" width="9.85546875" customWidth="1"/>
    <x:col min="8" max="8" width="17.5703125" customWidth="1"/>
    <x:col min="9" max="9" width="17.42578125" customWidth="1"/>
    <x:col min="10" max="10" width="17.5703125" customWidth="1"/>
  </x:cols>
  <x:sheetData>
    <x:row r="1">
      <x:c r="A1" t="s">
        <x:v>0</x:v>
      </x:c>
      <x:c r="B1" t="s">
        <x:v>78</x:v>
      </x:c>
      <x:c r="C1" t="s">
        <x:v>79</x:v>
      </x:c>
      <x:c r="D1" t="s">
        <x:v>80</x:v>
      </x:c>
      <x:c r="E1" t="s">
        <x:v>5</x:v>
      </x:c>
      <x:c r="F1" t="str">
        <x:v>Formal_UAT_Signoff</x:v>
      </x:c>
      <x:c r="G1" s="1" t="s">
        <x:v>81</x:v>
      </x:c>
      <x:c r="H1" s="1" t="s">
        <x:v>82</x:v>
      </x:c>
      <x:c r="I1" s="1" t="s">
        <x:v>83</x:v>
      </x:c>
      <x:c r="J1" s="1" t="s">
        <x:v>84</x:v>
      </x:c>
    </x:row>
    <x:row r="2">
      <x:c r="A2" t="s">
        <x:v>7</x:v>
      </x:c>
      <x:c r="B2" t="s">
        <x:v>85</x:v>
      </x:c>
      <x:c r="C2" t="s">
        <x:v>86</x:v>
      </x:c>
      <x:c r="D2" t="s">
        <x:v>87</x:v>
      </x:c>
      <x:c r="E2" t="s">
        <x:v>12</x:v>
      </x:c>
      <x:c r="F2" t="str">
        <x:v>Pending external sign-off (technical UAT recorded)</x:v>
      </x:c>
      <x:c r="G2" s="1" t="s">
        <x:v>88</x:v>
      </x:c>
      <x:c r="H2" s="1" t="s">
        <x:v>89</x:v>
      </x:c>
      <x:c r="I2" s="1" t="s">
        <x:v>90</x:v>
      </x:c>
      <x:c r="J2" s="1" t="s">
        <x:v>91</x:v>
      </x:c>
    </x:row>
    <x:row r="3">
      <x:c r="A3" t="s">
        <x:v>14</x:v>
      </x:c>
      <x:c r="B3" t="s">
        <x:v>92</x:v>
      </x:c>
      <x:c r="C3" t="s">
        <x:v>93</x:v>
      </x:c>
      <x:c r="D3" t="s">
        <x:v>94</x:v>
      </x:c>
      <x:c r="E3" t="s">
        <x:v>12</x:v>
      </x:c>
      <x:c r="F3" t="str">
        <x:v>Pending external sign-off (technical UAT recorded)</x:v>
      </x:c>
      <x:c r="G3" s="1" t="s">
        <x:v>95</x:v>
      </x:c>
      <x:c r="H3" s="1" t="s">
        <x:v>96</x:v>
      </x:c>
      <x:c r="I3" s="1" t="s">
        <x:v>97</x:v>
      </x:c>
      <x:c r="J3" s="1" t="s">
        <x:v>91</x:v>
      </x:c>
    </x:row>
    <x:row r="4">
      <x:c r="A4" t="s">
        <x:v>17</x:v>
      </x:c>
      <x:c r="B4" t="s">
        <x:v>98</x:v>
      </x:c>
      <x:c r="C4" t="s">
        <x:v>99</x:v>
      </x:c>
      <x:c r="D4" t="s">
        <x:v>100</x:v>
      </x:c>
      <x:c r="E4" t="s">
        <x:v>12</x:v>
      </x:c>
      <x:c r="F4" t="str">
        <x:v>Pending external sign-off (technical UAT recorded)</x:v>
      </x:c>
      <x:c r="G4" s="1" t="s">
        <x:v>101</x:v>
      </x:c>
      <x:c r="H4" s="1" t="s">
        <x:v>102</x:v>
      </x:c>
      <x:c r="I4" s="1" t="s">
        <x:v>103</x:v>
      </x:c>
      <x:c r="J4" s="1" t="s">
        <x:v>91</x:v>
      </x:c>
    </x:row>
    <x:row r="5">
      <x:c r="A5" t="s">
        <x:v>21</x:v>
      </x:c>
      <x:c r="B5" t="s">
        <x:v>104</x:v>
      </x:c>
      <x:c r="C5" t="s">
        <x:v>105</x:v>
      </x:c>
      <x:c r="D5" t="s">
        <x:v>106</x:v>
      </x:c>
      <x:c r="E5" t="s">
        <x:v>12</x:v>
      </x:c>
      <x:c r="F5" t="str">
        <x:v>Pending external sign-off (technical UAT recorded)</x:v>
      </x:c>
      <x:c r="G5" s="1" t="s">
        <x:v>107</x:v>
      </x:c>
      <x:c r="H5" s="1" t="s">
        <x:v>108</x:v>
      </x:c>
      <x:c r="I5" s="1" t="s">
        <x:v>109</x:v>
      </x:c>
      <x:c r="J5" s="1" t="s">
        <x:v>91</x:v>
      </x:c>
    </x:row>
    <x:row r="6">
      <x:c r="A6" t="s">
        <x:v>24</x:v>
      </x:c>
      <x:c r="B6" t="s">
        <x:v>110</x:v>
      </x:c>
      <x:c r="C6" t="s">
        <x:v>111</x:v>
      </x:c>
      <x:c r="D6" t="s">
        <x:v>112</x:v>
      </x:c>
      <x:c r="E6" t="s">
        <x:v>12</x:v>
      </x:c>
      <x:c r="F6" t="str">
        <x:v>Pending external sign-off (technical UAT recorded)</x:v>
      </x:c>
      <x:c r="G6" s="1" t="s">
        <x:v>113</x:v>
      </x:c>
      <x:c r="H6" s="1" t="s">
        <x:v>114</x:v>
      </x:c>
      <x:c r="I6" s="1" t="s">
        <x:v>115</x:v>
      </x:c>
      <x:c r="J6" s="1" t="s">
        <x:v>91</x:v>
      </x:c>
    </x:row>
    <x:row r="7">
      <x:c r="A7" t="s">
        <x:v>27</x:v>
      </x:c>
      <x:c r="B7" t="s">
        <x:v>116</x:v>
      </x:c>
      <x:c r="C7" t="s">
        <x:v>117</x:v>
      </x:c>
      <x:c r="D7" t="s">
        <x:v>118</x:v>
      </x:c>
      <x:c r="E7" t="s">
        <x:v>12</x:v>
      </x:c>
      <x:c r="F7" t="str">
        <x:v>Pending external sign-off (technical UAT recorded)</x:v>
      </x:c>
      <x:c r="G7" s="1" t="s">
        <x:v>119</x:v>
      </x:c>
      <x:c r="H7" s="1" t="s">
        <x:v>120</x:v>
      </x:c>
      <x:c r="I7" s="1" t="s">
        <x:v>121</x:v>
      </x:c>
      <x:c r="J7" s="1" t="s">
        <x:v>91</x:v>
      </x:c>
    </x:row>
    <x:row r="8">
      <x:c r="A8" t="s">
        <x:v>31</x:v>
      </x:c>
      <x:c r="B8" t="s">
        <x:v>122</x:v>
      </x:c>
      <x:c r="C8" t="s">
        <x:v>123</x:v>
      </x:c>
      <x:c r="D8" t="s">
        <x:v>124</x:v>
      </x:c>
      <x:c r="E8" t="s">
        <x:v>12</x:v>
      </x:c>
      <x:c r="F8" t="str">
        <x:v>Pending external sign-off (technical UAT recorded)</x:v>
      </x:c>
      <x:c r="G8" s="1" t="s">
        <x:v>125</x:v>
      </x:c>
      <x:c r="H8" s="1" t="s">
        <x:v>126</x:v>
      </x:c>
      <x:c r="I8" s="1" t="s">
        <x:v>127</x:v>
      </x:c>
      <x:c r="J8" s="1" t="s">
        <x:v>91</x:v>
      </x:c>
    </x:row>
    <x:row r="9">
      <x:c r="A9" t="s">
        <x:v>34</x:v>
      </x:c>
      <x:c r="B9" t="s">
        <x:v>128</x:v>
      </x:c>
      <x:c r="C9" t="s">
        <x:v>129</x:v>
      </x:c>
      <x:c r="D9" t="s">
        <x:v>130</x:v>
      </x:c>
      <x:c r="E9" t="s">
        <x:v>12</x:v>
      </x:c>
      <x:c r="F9" t="str">
        <x:v>Pending external sign-off (technical UAT recorded)</x:v>
      </x:c>
      <x:c r="G9" s="1" t="s">
        <x:v>131</x:v>
      </x:c>
      <x:c r="H9" s="1" t="s">
        <x:v>132</x:v>
      </x:c>
      <x:c r="I9" s="1" t="s">
        <x:v>133</x:v>
      </x:c>
      <x:c r="J9" s="1" t="s">
        <x:v>91</x:v>
      </x:c>
    </x:row>
    <x:row r="10">
      <x:c r="A10" t="s">
        <x:v>39</x:v>
      </x:c>
      <x:c r="B10" t="s">
        <x:v>134</x:v>
      </x:c>
      <x:c r="C10" t="s">
        <x:v>135</x:v>
      </x:c>
      <x:c r="D10" t="s">
        <x:v>136</x:v>
      </x:c>
      <x:c r="E10" t="s">
        <x:v>12</x:v>
      </x:c>
      <x:c r="F10" t="str">
        <x:v>Pending external sign-off (technical UAT recorded)</x:v>
      </x:c>
      <x:c r="G10" s="1" t="s">
        <x:v>137</x:v>
      </x:c>
      <x:c r="H10" s="1" t="s">
        <x:v>138</x:v>
      </x:c>
      <x:c r="I10" s="1" t="s">
        <x:v>139</x:v>
      </x:c>
      <x:c r="J10" s="1" t="s">
        <x:v>91</x:v>
      </x:c>
    </x:row>
    <x:row r="11">
      <x:c r="A11" t="s">
        <x:v>42</x:v>
      </x:c>
      <x:c r="B11" t="s">
        <x:v>140</x:v>
      </x:c>
      <x:c r="C11" t="str">
        <x:v>GitHub Actions quality gate → Neon daily.approved_sales → Power BI Service cloud semantic model</x:v>
      </x:c>
      <x:c r="D11" t="str">
        <x:v>30-Oct-2026: 7,500 rows / 9,852 units matched in Neon and Power BI; GitHub scheduled #7 success; Power BI scheduled + later on-demand refresh completed; new-batch unattended sequencing unverified</x:v>
      </x:c>
      <x:c r="E11" s="41" t="str">
        <x:v>Implemented - Scheduled cloud runs verified</x:v>
      </x:c>
      <x:c r="F11" t="str">
        <x:v>Pending external sign-off (technical UAT recorded)</x:v>
      </x:c>
      <x:c r="G11" s="1" t="s">
        <x:v>141</x:v>
      </x:c>
      <x:c r="H11" s="1" t="s">
        <x:v>142</x:v>
      </x:c>
      <x:c r="I11" s="1" t="s">
        <x:v>143</x:v>
      </x:c>
      <x:c r="J11" s="1" t="s">
        <x:v>91</x:v>
      </x:c>
    </x:row>
  </x:sheetData>
  <x:pageMargins left="0.7" right="0.7" top="0.75" bottom="0.75" header="0.3" footer="0.3"/>
  <x:tableParts count="1">
    <x:tablePart xmlns:r="http://schemas.openxmlformats.org/officeDocument/2006/relationships" r:id="Rb75495701a984af8"/>
  </x:tableParts>
</x:worksheet>
</file>

<file path=xl/worksheets/sheet4.xml><?xml version="1.0" encoding="utf-8"?>
<x:worksheet xmlns:x="http://schemas.openxmlformats.org/spreadsheetml/2006/main">
  <x:sheetFormatPr defaultRowHeight="15"/>
  <x:cols>
    <x:col min="1" max="1" width="11.7109375" customWidth="1"/>
    <x:col min="2" max="2" width="18.140625" customWidth="1"/>
    <x:col min="3" max="3" width="61.140625" customWidth="1"/>
    <x:col min="4" max="4" width="48.28515625" customWidth="1"/>
    <x:col min="5" max="5" width="9.85546875" customWidth="1"/>
    <x:col min="6" max="6" width="31.7109375" customWidth="1"/>
  </x:cols>
  <x:sheetData>
    <x:row r="1">
      <x:c r="A1" t="s">
        <x:v>144</x:v>
      </x:c>
      <x:c r="B1" t="s">
        <x:v>0</x:v>
      </x:c>
      <x:c r="C1" t="s">
        <x:v>145</x:v>
      </x:c>
      <x:c r="D1" t="s">
        <x:v>146</x:v>
      </x:c>
      <x:c r="E1" t="s">
        <x:v>3</x:v>
      </x:c>
      <x:c r="F1" t="s">
        <x:v>147</x:v>
      </x:c>
    </x:row>
    <x:row r="2">
      <x:c r="A2" t="s">
        <x:v>148</x:v>
      </x:c>
      <x:c r="B2" t="s">
        <x:v>7</x:v>
      </x:c>
      <x:c r="C2" t="s">
        <x:v>149</x:v>
      </x:c>
      <x:c r="D2" t="s">
        <x:v>150</x:v>
      </x:c>
      <x:c r="E2" t="s">
        <x:v>10</x:v>
      </x:c>
      <x:c r="F2" t="s">
        <x:v>151</x:v>
      </x:c>
    </x:row>
    <x:row r="3">
      <x:c r="A3" t="s">
        <x:v>152</x:v>
      </x:c>
      <x:c r="B3" t="s">
        <x:v>14</x:v>
      </x:c>
      <x:c r="C3" t="s">
        <x:v>153</x:v>
      </x:c>
      <x:c r="D3" t="s">
        <x:v>154</x:v>
      </x:c>
      <x:c r="E3" t="s">
        <x:v>10</x:v>
      </x:c>
      <x:c r="F3" t="s">
        <x:v>151</x:v>
      </x:c>
    </x:row>
    <x:row r="4">
      <x:c r="A4" t="s">
        <x:v>155</x:v>
      </x:c>
      <x:c r="B4" t="s">
        <x:v>17</x:v>
      </x:c>
      <x:c r="C4" t="s">
        <x:v>156</x:v>
      </x:c>
      <x:c r="D4" t="s">
        <x:v>157</x:v>
      </x:c>
      <x:c r="E4" t="s">
        <x:v>10</x:v>
      </x:c>
      <x:c r="F4" t="s">
        <x:v>151</x:v>
      </x:c>
    </x:row>
    <x:row r="5">
      <x:c r="A5" t="s">
        <x:v>158</x:v>
      </x:c>
      <x:c r="B5" t="s">
        <x:v>17</x:v>
      </x:c>
      <x:c r="C5" t="s">
        <x:v>159</x:v>
      </x:c>
      <x:c r="D5" t="s">
        <x:v>160</x:v>
      </x:c>
      <x:c r="E5" t="s">
        <x:v>10</x:v>
      </x:c>
      <x:c r="F5" t="s">
        <x:v>151</x:v>
      </x:c>
    </x:row>
    <x:row r="6">
      <x:c r="A6" t="s">
        <x:v>161</x:v>
      </x:c>
      <x:c r="B6" t="s">
        <x:v>17</x:v>
      </x:c>
      <x:c r="C6" t="s">
        <x:v>162</x:v>
      </x:c>
      <x:c r="D6" t="s">
        <x:v>163</x:v>
      </x:c>
      <x:c r="E6" t="s">
        <x:v>10</x:v>
      </x:c>
      <x:c r="F6" t="s">
        <x:v>151</x:v>
      </x:c>
    </x:row>
    <x:row r="7">
      <x:c r="A7" t="s">
        <x:v>164</x:v>
      </x:c>
      <x:c r="B7" t="s">
        <x:v>21</x:v>
      </x:c>
      <x:c r="C7" t="s">
        <x:v>165</x:v>
      </x:c>
      <x:c r="D7" t="s">
        <x:v>166</x:v>
      </x:c>
      <x:c r="E7" t="s">
        <x:v>10</x:v>
      </x:c>
      <x:c r="F7" t="s">
        <x:v>151</x:v>
      </x:c>
    </x:row>
    <x:row r="8">
      <x:c r="A8" t="s">
        <x:v>167</x:v>
      </x:c>
      <x:c r="B8" t="s">
        <x:v>24</x:v>
      </x:c>
      <x:c r="C8" t="s">
        <x:v>168</x:v>
      </x:c>
      <x:c r="D8" t="s">
        <x:v>169</x:v>
      </x:c>
      <x:c r="E8" t="s">
        <x:v>10</x:v>
      </x:c>
      <x:c r="F8" t="s">
        <x:v>151</x:v>
      </x:c>
    </x:row>
    <x:row r="9">
      <x:c r="A9" t="s">
        <x:v>170</x:v>
      </x:c>
      <x:c r="B9" t="s">
        <x:v>27</x:v>
      </x:c>
      <x:c r="C9" t="s">
        <x:v>171</x:v>
      </x:c>
      <x:c r="D9" t="s">
        <x:v>172</x:v>
      </x:c>
      <x:c r="E9" t="s">
        <x:v>10</x:v>
      </x:c>
      <x:c r="F9" t="s">
        <x:v>151</x:v>
      </x:c>
    </x:row>
    <x:row r="10">
      <x:c r="A10" t="s">
        <x:v>173</x:v>
      </x:c>
      <x:c r="B10" t="s">
        <x:v>39</x:v>
      </x:c>
      <x:c r="C10" t="s">
        <x:v>174</x:v>
      </x:c>
      <x:c r="D10" t="s">
        <x:v>175</x:v>
      </x:c>
      <x:c r="E10" t="s">
        <x:v>10</x:v>
      </x:c>
      <x:c r="F10" t="s">
        <x:v>151</x:v>
      </x:c>
    </x:row>
    <x:row r="11">
      <x:c r="A11" t="s">
        <x:v>176</x:v>
      </x:c>
      <x:c r="B11" t="s">
        <x:v>42</x:v>
      </x:c>
      <x:c r="C11" t="s">
        <x:v>177</x:v>
      </x:c>
      <x:c r="D11" t="s">
        <x:v>178</x:v>
      </x:c>
      <x:c r="E11" t="s">
        <x:v>37</x:v>
      </x:c>
      <x:c r="F11" t="s">
        <x:v>151</x:v>
      </x:c>
    </x:row>
  </x:sheetData>
  <x:pageMargins left="0.7" right="0.7" top="0.75" bottom="0.75" header="0.3" footer="0.3"/>
  <x:tableParts count="1">
    <x:tablePart xmlns:r="http://schemas.openxmlformats.org/officeDocument/2006/relationships" r:id="R9b2f00aadf5d4f9f"/>
  </x:tableParts>
</x:worksheet>
</file>

<file path=xl/worksheets/sheet5.xml><?xml version="1.0" encoding="utf-8"?>
<x:worksheet xmlns:x="http://schemas.openxmlformats.org/spreadsheetml/2006/main">
  <x:sheetFormatPr defaultRowHeight="15"/>
  <x:cols>
    <x:col min="1" max="1" width="10.85546875" customWidth="1"/>
    <x:col min="2" max="2" width="18.140625" customWidth="1"/>
    <x:col min="3" max="3" width="19.28515625" customWidth="1"/>
    <x:col min="4" max="4" width="117" customWidth="1"/>
    <x:col min="5" max="5" width="9.85546875" customWidth="1"/>
    <x:col min="6" max="6" width="14.5703125" customWidth="1"/>
  </x:cols>
  <x:sheetData>
    <x:row r="1">
      <x:c r="A1" t="s">
        <x:v>179</x:v>
      </x:c>
      <x:c r="B1" t="s">
        <x:v>0</x:v>
      </x:c>
      <x:c r="C1" t="s">
        <x:v>180</x:v>
      </x:c>
      <x:c r="D1" t="s">
        <x:v>181</x:v>
      </x:c>
      <x:c r="E1" t="s">
        <x:v>3</x:v>
      </x:c>
      <x:c r="F1" t="s">
        <x:v>182</x:v>
      </x:c>
    </x:row>
    <x:row r="2">
      <x:c r="A2" t="s">
        <x:v>183</x:v>
      </x:c>
      <x:c r="B2" t="s">
        <x:v>7</x:v>
      </x:c>
      <x:c r="C2" t="s">
        <x:v>9</x:v>
      </x:c>
      <x:c r="D2" t="s">
        <x:v>184</x:v>
      </x:c>
      <x:c r="E2" t="s">
        <x:v>10</x:v>
      </x:c>
      <x:c r="F2" t="str">
        <x:v>Implemented in simulation (approval pending)</x:v>
      </x:c>
    </x:row>
    <x:row r="3">
      <x:c r="A3" t="s">
        <x:v>185</x:v>
      </x:c>
      <x:c r="B3" t="s">
        <x:v>14</x:v>
      </x:c>
      <x:c r="C3" t="s">
        <x:v>9</x:v>
      </x:c>
      <x:c r="D3" t="s">
        <x:v>186</x:v>
      </x:c>
      <x:c r="E3" t="s">
        <x:v>10</x:v>
      </x:c>
      <x:c r="F3" t="str">
        <x:v>Implemented in simulation (approval pending)</x:v>
      </x:c>
    </x:row>
    <x:row r="4">
      <x:c r="A4" t="s">
        <x:v>187</x:v>
      </x:c>
      <x:c r="B4" t="s">
        <x:v>17</x:v>
      </x:c>
      <x:c r="C4" t="s">
        <x:v>19</x:v>
      </x:c>
      <x:c r="D4" t="s">
        <x:v>188</x:v>
      </x:c>
      <x:c r="E4" t="s">
        <x:v>10</x:v>
      </x:c>
      <x:c r="F4" t="str">
        <x:v>Implemented in simulation (approval pending)</x:v>
      </x:c>
    </x:row>
    <x:row r="5">
      <x:c r="A5" t="s">
        <x:v>189</x:v>
      </x:c>
      <x:c r="B5" t="s">
        <x:v>21</x:v>
      </x:c>
      <x:c r="C5" t="s">
        <x:v>9</x:v>
      </x:c>
      <x:c r="D5" t="s">
        <x:v>190</x:v>
      </x:c>
      <x:c r="E5" t="s">
        <x:v>10</x:v>
      </x:c>
      <x:c r="F5" t="str">
        <x:v>Implemented in simulation (approval pending)</x:v>
      </x:c>
    </x:row>
    <x:row r="6">
      <x:c r="A6" t="s">
        <x:v>191</x:v>
      </x:c>
      <x:c r="B6" t="s">
        <x:v>24</x:v>
      </x:c>
      <x:c r="C6" t="s">
        <x:v>19</x:v>
      </x:c>
      <x:c r="D6" t="s">
        <x:v>192</x:v>
      </x:c>
      <x:c r="E6" t="s">
        <x:v>10</x:v>
      </x:c>
      <x:c r="F6" t="str">
        <x:v>Implemented in simulation (approval pending)</x:v>
      </x:c>
    </x:row>
    <x:row r="7">
      <x:c r="A7" t="s">
        <x:v>193</x:v>
      </x:c>
      <x:c r="B7" t="s">
        <x:v>27</x:v>
      </x:c>
      <x:c r="C7" t="s">
        <x:v>29</x:v>
      </x:c>
      <x:c r="D7" t="s">
        <x:v>194</x:v>
      </x:c>
      <x:c r="E7" t="s">
        <x:v>10</x:v>
      </x:c>
      <x:c r="F7" t="str">
        <x:v>Implemented in simulation (approval pending)</x:v>
      </x:c>
    </x:row>
    <x:row r="8">
      <x:c r="A8" t="s">
        <x:v>195</x:v>
      </x:c>
      <x:c r="B8" t="s">
        <x:v>31</x:v>
      </x:c>
      <x:c r="C8" t="s">
        <x:v>29</x:v>
      </x:c>
      <x:c r="D8" t="s">
        <x:v>196</x:v>
      </x:c>
      <x:c r="E8" t="s">
        <x:v>10</x:v>
      </x:c>
      <x:c r="F8" t="str">
        <x:v>Implemented in simulation (approval pending)</x:v>
      </x:c>
    </x:row>
    <x:row r="9">
      <x:c r="A9" t="s">
        <x:v>197</x:v>
      </x:c>
      <x:c r="B9" t="s">
        <x:v>34</x:v>
      </x:c>
      <x:c r="C9" t="s">
        <x:v>36</x:v>
      </x:c>
      <x:c r="D9" t="s">
        <x:v>198</x:v>
      </x:c>
      <x:c r="E9" t="s">
        <x:v>37</x:v>
      </x:c>
      <x:c r="F9" t="str">
        <x:v>Implemented in simulation (approval pending)</x:v>
      </x:c>
    </x:row>
    <x:row r="10">
      <x:c r="A10" t="s">
        <x:v>199</x:v>
      </x:c>
      <x:c r="B10" t="s">
        <x:v>39</x:v>
      </x:c>
      <x:c r="C10" t="s">
        <x:v>9</x:v>
      </x:c>
      <x:c r="D10" t="s">
        <x:v>200</x:v>
      </x:c>
      <x:c r="E10" t="s">
        <x:v>10</x:v>
      </x:c>
      <x:c r="F10" t="str">
        <x:v>Implemented in simulation (approval pending)</x:v>
      </x:c>
    </x:row>
    <x:row r="11">
      <x:c r="A11" t="s">
        <x:v>201</x:v>
      </x:c>
      <x:c r="B11" t="s">
        <x:v>42</x:v>
      </x:c>
      <x:c r="C11" t="s">
        <x:v>44</x:v>
      </x:c>
      <x:c r="D11" t="s">
        <x:v>202</x:v>
      </x:c>
      <x:c r="E11" t="s">
        <x:v>37</x:v>
      </x:c>
      <x:c r="F11" t="str">
        <x:v>Implemented - scheduled cloud runs; E2E sequencing pending</x:v>
      </x:c>
    </x:row>
  </x:sheetData>
  <x:pageMargins left="0.7" right="0.7" top="0.75" bottom="0.75" header="0.3" footer="0.3"/>
  <x:tableParts count="1">
    <x:tablePart xmlns:r="http://schemas.openxmlformats.org/officeDocument/2006/relationships" r:id="R51e8e214724045d8"/>
  </x:tableParts>
</x:worksheet>
</file>

<file path=xl/worksheets/sheet6.xml><?xml version="1.0" encoding="utf-8"?>
<x:worksheet xmlns:x="http://schemas.openxmlformats.org/spreadsheetml/2006/main">
  <x:sheetFormatPr defaultRowHeight="15"/>
  <x:cols>
    <x:col min="1" max="1" width="8.7109375" customWidth="1"/>
    <x:col min="2" max="2" width="10.85546875" customWidth="1"/>
    <x:col min="3" max="3" width="45.5703125" customWidth="1"/>
    <x:col min="4" max="4" width="54.7109375" customWidth="1"/>
    <x:col min="5" max="5" width="76.85546875" customWidth="1"/>
    <x:col min="6" max="6" width="9.85546875" customWidth="1"/>
    <x:col min="7" max="7" width="9" customWidth="1"/>
  </x:cols>
  <x:sheetData>
    <x:row r="1">
      <x:c r="A1" t="s">
        <x:v>203</x:v>
      </x:c>
      <x:c r="B1" t="s">
        <x:v>179</x:v>
      </x:c>
      <x:c r="C1" t="s">
        <x:v>204</x:v>
      </x:c>
      <x:c r="D1" t="s">
        <x:v>205</x:v>
      </x:c>
      <x:c r="E1" t="s">
        <x:v>206</x:v>
      </x:c>
      <x:c r="F1" t="s">
        <x:v>3</x:v>
      </x:c>
      <x:c r="G1" t="s">
        <x:v>48</x:v>
      </x:c>
    </x:row>
    <x:row r="2">
      <x:c r="A2" t="s">
        <x:v>207</x:v>
      </x:c>
      <x:c r="B2" t="s">
        <x:v>183</x:v>
      </x:c>
      <x:c r="C2" t="s">
        <x:v>208</x:v>
      </x:c>
      <x:c r="D2" t="s">
        <x:v>209</x:v>
      </x:c>
      <x:c r="E2" t="s">
        <x:v>210</x:v>
      </x:c>
      <x:c r="F2" t="s">
        <x:v>10</x:v>
      </x:c>
      <x:c r="G2" t="str">
        <x:v>Technically tested - signoff pending</x:v>
      </x:c>
    </x:row>
    <x:row r="3">
      <x:c r="A3" t="s">
        <x:v>211</x:v>
      </x:c>
      <x:c r="B3" t="s">
        <x:v>183</x:v>
      </x:c>
      <x:c r="C3" t="s">
        <x:v>212</x:v>
      </x:c>
      <x:c r="D3" t="s">
        <x:v>213</x:v>
      </x:c>
      <x:c r="E3" t="s">
        <x:v>214</x:v>
      </x:c>
      <x:c r="F3" t="s">
        <x:v>10</x:v>
      </x:c>
      <x:c r="G3" t="str">
        <x:v>Technically tested - signoff pending</x:v>
      </x:c>
    </x:row>
    <x:row r="4">
      <x:c r="A4" t="s">
        <x:v>215</x:v>
      </x:c>
      <x:c r="B4" t="s">
        <x:v>185</x:v>
      </x:c>
      <x:c r="C4" t="s">
        <x:v>216</x:v>
      </x:c>
      <x:c r="D4" t="s">
        <x:v>217</x:v>
      </x:c>
      <x:c r="E4" t="s">
        <x:v>218</x:v>
      </x:c>
      <x:c r="F4" t="s">
        <x:v>10</x:v>
      </x:c>
      <x:c r="G4" t="str">
        <x:v>Technically tested - signoff pending</x:v>
      </x:c>
    </x:row>
    <x:row r="5">
      <x:c r="A5" t="s">
        <x:v>219</x:v>
      </x:c>
      <x:c r="B5" t="s">
        <x:v>187</x:v>
      </x:c>
      <x:c r="C5" t="s">
        <x:v>220</x:v>
      </x:c>
      <x:c r="D5" t="s">
        <x:v>221</x:v>
      </x:c>
      <x:c r="E5" t="s">
        <x:v>222</x:v>
      </x:c>
      <x:c r="F5" t="s">
        <x:v>10</x:v>
      </x:c>
      <x:c r="G5" t="str">
        <x:v>Technically tested - signoff pending</x:v>
      </x:c>
    </x:row>
    <x:row r="6">
      <x:c r="A6" t="s">
        <x:v>223</x:v>
      </x:c>
      <x:c r="B6" t="s">
        <x:v>187</x:v>
      </x:c>
      <x:c r="C6" t="s">
        <x:v>224</x:v>
      </x:c>
      <x:c r="D6" t="s">
        <x:v>225</x:v>
      </x:c>
      <x:c r="E6" t="s">
        <x:v>226</x:v>
      </x:c>
      <x:c r="F6" t="s">
        <x:v>10</x:v>
      </x:c>
      <x:c r="G6" t="str">
        <x:v>Technically tested - signoff pending</x:v>
      </x:c>
    </x:row>
    <x:row r="7">
      <x:c r="A7" t="s">
        <x:v>227</x:v>
      </x:c>
      <x:c r="B7" t="s">
        <x:v>187</x:v>
      </x:c>
      <x:c r="C7" t="s">
        <x:v>228</x:v>
      </x:c>
      <x:c r="D7" t="s">
        <x:v>229</x:v>
      </x:c>
      <x:c r="E7" t="s">
        <x:v>230</x:v>
      </x:c>
      <x:c r="F7" t="s">
        <x:v>10</x:v>
      </x:c>
      <x:c r="G7" t="str">
        <x:v>Technically tested - signoff pending</x:v>
      </x:c>
    </x:row>
    <x:row r="8">
      <x:c r="A8" t="s">
        <x:v>231</x:v>
      </x:c>
      <x:c r="B8" t="s">
        <x:v>187</x:v>
      </x:c>
      <x:c r="C8" t="s">
        <x:v>232</x:v>
      </x:c>
      <x:c r="D8" t="s">
        <x:v>233</x:v>
      </x:c>
      <x:c r="E8" t="s">
        <x:v>234</x:v>
      </x:c>
      <x:c r="F8" t="s">
        <x:v>10</x:v>
      </x:c>
      <x:c r="G8" t="str">
        <x:v>Technically tested - signoff pending</x:v>
      </x:c>
    </x:row>
    <x:row r="9">
      <x:c r="A9" t="s">
        <x:v>235</x:v>
      </x:c>
      <x:c r="B9" t="s">
        <x:v>189</x:v>
      </x:c>
      <x:c r="C9" t="s">
        <x:v>236</x:v>
      </x:c>
      <x:c r="D9" t="s">
        <x:v>237</x:v>
      </x:c>
      <x:c r="E9" t="s">
        <x:v>238</x:v>
      </x:c>
      <x:c r="F9" t="s">
        <x:v>10</x:v>
      </x:c>
      <x:c r="G9" t="str">
        <x:v>Technically tested - signoff pending</x:v>
      </x:c>
    </x:row>
    <x:row r="10">
      <x:c r="A10" t="s">
        <x:v>239</x:v>
      </x:c>
      <x:c r="B10" t="s">
        <x:v>191</x:v>
      </x:c>
      <x:c r="C10" t="s">
        <x:v>240</x:v>
      </x:c>
      <x:c r="D10" t="s">
        <x:v>241</x:v>
      </x:c>
      <x:c r="E10" t="s">
        <x:v>242</x:v>
      </x:c>
      <x:c r="F10" t="s">
        <x:v>10</x:v>
      </x:c>
      <x:c r="G10" t="str">
        <x:v>Technically tested - signoff pending</x:v>
      </x:c>
    </x:row>
    <x:row r="11">
      <x:c r="A11" t="s">
        <x:v>243</x:v>
      </x:c>
      <x:c r="B11" t="s">
        <x:v>193</x:v>
      </x:c>
      <x:c r="C11" t="s">
        <x:v>244</x:v>
      </x:c>
      <x:c r="D11" t="s">
        <x:v>245</x:v>
      </x:c>
      <x:c r="E11" t="s">
        <x:v>246</x:v>
      </x:c>
      <x:c r="F11" t="s">
        <x:v>10</x:v>
      </x:c>
      <x:c r="G11" t="str">
        <x:v>Technically tested - signoff pending</x:v>
      </x:c>
    </x:row>
    <x:row r="12">
      <x:c r="A12" t="s">
        <x:v>247</x:v>
      </x:c>
      <x:c r="B12" t="s">
        <x:v>195</x:v>
      </x:c>
      <x:c r="C12" t="s">
        <x:v>248</x:v>
      </x:c>
      <x:c r="D12" t="s">
        <x:v>249</x:v>
      </x:c>
      <x:c r="E12" t="s">
        <x:v>250</x:v>
      </x:c>
      <x:c r="F12" t="s">
        <x:v>10</x:v>
      </x:c>
      <x:c r="G12" t="str">
        <x:v>Technically tested - signoff pending</x:v>
      </x:c>
    </x:row>
    <x:row r="13">
      <x:c r="A13" t="s">
        <x:v>251</x:v>
      </x:c>
      <x:c r="B13" t="s">
        <x:v>197</x:v>
      </x:c>
      <x:c r="C13" t="s">
        <x:v>252</x:v>
      </x:c>
      <x:c r="D13" t="s">
        <x:v>253</x:v>
      </x:c>
      <x:c r="E13" t="s">
        <x:v>254</x:v>
      </x:c>
      <x:c r="F13" t="s">
        <x:v>37</x:v>
      </x:c>
      <x:c r="G13" t="str">
        <x:v>Technically tested - signoff pending</x:v>
      </x:c>
    </x:row>
    <x:row r="14">
      <x:c r="A14" t="s">
        <x:v>255</x:v>
      </x:c>
      <x:c r="B14" t="s">
        <x:v>199</x:v>
      </x:c>
      <x:c r="C14" t="s">
        <x:v>256</x:v>
      </x:c>
      <x:c r="D14" t="s">
        <x:v>257</x:v>
      </x:c>
      <x:c r="E14" t="s">
        <x:v>258</x:v>
      </x:c>
      <x:c r="F14" t="s">
        <x:v>10</x:v>
      </x:c>
      <x:c r="G14" t="str">
        <x:v>Technically tested - signoff pending</x:v>
      </x:c>
    </x:row>
    <x:row r="15">
      <x:c r="A15" t="s">
        <x:v>259</x:v>
      </x:c>
      <x:c r="B15" t="s">
        <x:v>199</x:v>
      </x:c>
      <x:c r="C15" t="s">
        <x:v>260</x:v>
      </x:c>
      <x:c r="D15" t="s">
        <x:v>261</x:v>
      </x:c>
      <x:c r="E15" t="s">
        <x:v>262</x:v>
      </x:c>
      <x:c r="F15" t="s">
        <x:v>10</x:v>
      </x:c>
      <x:c r="G15" t="str">
        <x:v>Technically tested - signoff pending</x:v>
      </x:c>
    </x:row>
    <x:row r="16">
      <x:c r="A16" t="s">
        <x:v>263</x:v>
      </x:c>
      <x:c r="B16" t="s">
        <x:v>201</x:v>
      </x:c>
      <x:c r="C16" t="s">
        <x:v>264</x:v>
      </x:c>
      <x:c r="D16" t="s">
        <x:v>265</x:v>
      </x:c>
      <x:c r="E16" t="s">
        <x:v>266</x:v>
      </x:c>
      <x:c r="F16" t="s">
        <x:v>37</x:v>
      </x:c>
      <x:c r="G16" t="str">
        <x:v>Technical refresh evidenced; unattended same-batch ordering not yet independently proven; sign-off pending</x:v>
      </x:c>
    </x:row>
  </x:sheetData>
  <x:pageMargins left="0.7" right="0.7" top="0.75" bottom="0.75" header="0.3" footer="0.3"/>
  <x:tableParts count="1">
    <x:tablePart xmlns:r="http://schemas.openxmlformats.org/officeDocument/2006/relationships" r:id="R3bdcfce6035b4ad2"/>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2" hidden="0" customWidth="1"/>
    <x:col min="3" max="3" width="29" hidden="0" customWidth="1"/>
    <x:col min="4" max="4" width="54" hidden="0" customWidth="1"/>
    <x:col min="5" max="5" width="43" hidden="0" customWidth="1"/>
    <x:col min="6" max="6" width="11" hidden="0" customWidth="1"/>
    <x:col min="7" max="7" width="85" hidden="0" customWidth="1"/>
    <x:col min="8" max="8" width="77" hidden="0" customWidth="1"/>
  </x:cols>
  <x:sheetData>
    <x:row r="1" ht="34" customHeight="1">
      <x:c r="A1" s="85" t="s">
        <x:v>267</x:v>
      </x:c>
      <x:c r="B1" s="85" t="s">
        <x:v>203</x:v>
      </x:c>
      <x:c r="C1" s="85" t="s">
        <x:v>268</x:v>
      </x:c>
      <x:c r="D1" s="85" t="s">
        <x:v>269</x:v>
      </x:c>
      <x:c r="E1" s="85" t="s">
        <x:v>270</x:v>
      </x:c>
      <x:c r="F1" s="85" t="s">
        <x:v>271</x:v>
      </x:c>
      <x:c r="G1" s="85" t="s">
        <x:v>272</x:v>
      </x:c>
      <x:c r="H1" s="85" t="s">
        <x:v>273</x:v>
      </x:c>
    </x:row>
    <x:row r="2" ht="62" customHeight="1">
      <x:c r="A2" s="55" t="s">
        <x:v>274</x:v>
      </x:c>
      <x:c r="B2" s="55" t="s">
        <x:v>207</x:v>
      </x:c>
      <x:c r="C2" s="55" t="s">
        <x:v>275</x:v>
      </x:c>
      <x:c r="D2" s="55" t="s">
        <x:v>276</x:v>
      </x:c>
      <x:c r="E2" s="55" t="s">
        <x:v>277</x:v>
      </x:c>
      <x:c r="F2" s="89" t="str">
        <x:v>PASS</x:v>
      </x:c>
      <x:c r="G2" s="55" t="str">
        <x:v>50 expected; 50 received; 0 missing; 1,500 approved transactions; PASS on 2026-10-19.</x:v>
      </x:c>
      <x:c r="H2" s="55" t="str">
        <x:v>2026-10-19_status.json</x:v>
      </x:c>
    </x:row>
    <x:row r="3" ht="62" customHeight="1">
      <x:c r="A3" s="55" t="s">
        <x:v>278</x:v>
      </x:c>
      <x:c r="B3" s="55" t="s">
        <x:v>211</x:v>
      </x:c>
      <x:c r="C3" s="55" t="s">
        <x:v>279</x:v>
      </x:c>
      <x:c r="D3" s="55" t="s">
        <x:v>280</x:v>
      </x:c>
      <x:c r="E3" s="55" t="s">
        <x:v>281</x:v>
      </x:c>
      <x:c r="F3" s="89" t="str">
        <x:v>PASS</x:v>
      </x:c>
      <x:c r="G3" s="55" t="str">
        <x:v>Power Query counted 51 available files: 50 selected-date files and 1 other-date file.</x:v>
      </x:c>
      <x:c r="H3" s="55" t="str">
        <x:v>TC-002_Date_Isolation.png</x:v>
      </x:c>
    </x:row>
    <x:row r="4" ht="62" customHeight="1">
      <x:c r="A4" s="55" t="s">
        <x:v>282</x:v>
      </x:c>
      <x:c r="B4" s="55" t="s">
        <x:v>215</x:v>
      </x:c>
      <x:c r="C4" s="55" t="s">
        <x:v>283</x:v>
      </x:c>
      <x:c r="D4" s="55" t="s">
        <x:v>284</x:v>
      </x:c>
      <x:c r="E4" s="55" t="s">
        <x:v>285</x:v>
      </x:c>
      <x:c r="F4" s="89" t="str">
        <x:v>PASS</x:v>
      </x:c>
      <x:c r="G4" s="55" t="str">
        <x:v>Original failure run: 49/50 files; S004 missing; BLOCKED; approved rows = 0.</x:v>
      </x:c>
      <x:c r="H4" s="55" t="str">
        <x:v>TC-003_Missing_Store_BLOCKED.log (source: 2026-10-19_141718_952381_run.log)</x:v>
      </x:c>
    </x:row>
    <x:row r="5" ht="62" customHeight="1">
      <x:c r="A5" s="55" t="s">
        <x:v>286</x:v>
      </x:c>
      <x:c r="B5" s="55" t="s">
        <x:v>219</x:v>
      </x:c>
      <x:c r="C5" s="55" t="s">
        <x:v>287</x:v>
      </x:c>
      <x:c r="D5" s="55" t="s">
        <x:v>288</x:v>
      </x:c>
      <x:c r="E5" s="55" t="s">
        <x:v>289</x:v>
      </x:c>
      <x:c r="F5" s="89" t="str">
        <x:v>PASS</x:v>
      </x:c>
      <x:c r="G5" s="55" t="str">
        <x:v>Original failure run: duplicate Sale_ID in S003 CSV line 3; BLOCKED; approved rows = 0.</x:v>
      </x:c>
      <x:c r="H5" s="55" t="str">
        <x:v>TC-004_Duplicate_Sale_ID_BLOCKED.log (source: 2026-10-19_011148_208947_run.log)</x:v>
      </x:c>
    </x:row>
    <x:row r="6" ht="62" customHeight="1">
      <x:c r="A6" s="55" t="s">
        <x:v>290</x:v>
      </x:c>
      <x:c r="B6" s="55" t="s">
        <x:v>223</x:v>
      </x:c>
      <x:c r="C6" s="55" t="s">
        <x:v>291</x:v>
      </x:c>
      <x:c r="D6" s="55" t="str">
        <x:v>In an isolated synthetic batch set Units to -3; run the original Python quality validation.</x:v>
      </x:c>
      <x:c r="E6" s="55" t="s">
        <x:v>292</x:v>
      </x:c>
      <x:c r="F6" s="89" t="str">
        <x:v>PASS</x:v>
      </x:c>
      <x:c r="G6" s="55" t="str">
        <x:v>Isolated Python validation with Units = -3 detected INVALID_TRANSACTION; BLOCKED; 0 approved.</x:v>
      </x:c>
      <x:c r="H6" s="55" t="str">
        <x:v>TC-005_Invalid_Units_validation_exceptions.csv + isolated BLOCKED LOG/JSON</x:v>
      </x:c>
    </x:row>
    <x:row r="7" ht="62" customHeight="1">
      <x:c r="A7" s="55" t="s">
        <x:v>293</x:v>
      </x:c>
      <x:c r="B7" s="55" t="s">
        <x:v>227</x:v>
      </x:c>
      <x:c r="C7" s="55" t="s">
        <x:v>294</x:v>
      </x:c>
      <x:c r="D7" s="55" t="str">
        <x:v>In isolated synthetic batches test unknown Product_ID and Store_ID; correct inputs and rerun.</x:v>
      </x:c>
      <x:c r="E7" s="55" t="s">
        <x:v>295</x:v>
      </x:c>
      <x:c r="F7" s="89" t="str">
        <x:v>PASS</x:v>
      </x:c>
      <x:c r="G7" s="55" t="str">
        <x:v>Isolated Python tests identified unknown Product_ID and Store_ID (9999); BLOCKED; recovery PASS with 1,500 rows.</x:v>
      </x:c>
      <x:c r="H7" s="55" t="str">
        <x:v>TC-006_Unknown_Product_Store_ID_Evidence (01_BLOCKED / 02_Recovery_PASS)</x:v>
      </x:c>
    </x:row>
    <x:row r="8" ht="62" customHeight="1">
      <x:c r="A8" s="55" t="s">
        <x:v>296</x:v>
      </x:c>
      <x:c r="B8" s="55" t="s">
        <x:v>231</x:v>
      </x:c>
      <x:c r="C8" s="55" t="s">
        <x:v>297</x:v>
      </x:c>
      <x:c r="D8" s="55" t="str">
        <x:v>In an isolated synthetic batch change a transaction date to another day; correct and rerun.</x:v>
      </x:c>
      <x:c r="E8" s="55" t="s">
        <x:v>298</x:v>
      </x:c>
      <x:c r="F8" s="89" t="str">
        <x:v>PASS</x:v>
      </x:c>
      <x:c r="G8" s="55" t="str">
        <x:v>Isolated Python test flagged 2026-10-20 transaction within 2026-10-19 batch; BLOCKED; recovery PASS, 1,500 rows.</x:v>
      </x:c>
      <x:c r="H8" s="55" t="str">
        <x:v>TC-007_Wrong_Reporting_Date_Evidence (01_BLOCKED / 02_Recovery_PASS)</x:v>
      </x:c>
    </x:row>
    <x:row r="9" ht="62" customHeight="1">
      <x:c r="A9" s="55" t="s">
        <x:v>299</x:v>
      </x:c>
      <x:c r="B9" s="55" t="s">
        <x:v>235</x:v>
      </x:c>
      <x:c r="C9" s="55" t="s">
        <x:v>300</x:v>
      </x:c>
      <x:c r="D9" s="55" t="str">
        <x:v>Validate an invalid isolated batch; verify approval blocked; correct and rerun.</x:v>
      </x:c>
      <x:c r="E9" s="55" t="s">
        <x:v>301</x:v>
      </x:c>
      <x:c r="F9" s="89" t="str">
        <x:v>PASS</x:v>
      </x:c>
      <x:c r="G9" s="55" t="str">
        <x:v>Reused isolated TC-007 test: invalid batch BLOCKED, approved rows = 0; after fix PASS, 1,500 approved.</x:v>
      </x:c>
      <x:c r="H9" s="55" t="str">
        <x:v>TC-008_Report_Approval_Blocking_Evidence (01_BLOCKED / 02_Recovery_PASS)</x:v>
      </x:c>
    </x:row>
    <x:row r="10" ht="62" customHeight="1">
      <x:c r="A10" s="55" t="s">
        <x:v>302</x:v>
      </x:c>
      <x:c r="B10" s="55" t="s">
        <x:v>239</x:v>
      </x:c>
      <x:c r="C10" s="55" t="s">
        <x:v>303</x:v>
      </x:c>
      <x:c r="D10" s="55" t="str">
        <x:v>Run isolated validation with all valid simulated store files and review exported approved CSV.</x:v>
      </x:c>
      <x:c r="E10" s="55" t="s">
        <x:v>304</x:v>
      </x:c>
      <x:c r="F10" s="89" t="str">
        <x:v>PASS</x:v>
      </x:c>
      <x:c r="G10" s="55" t="str">
        <x:v>Isolated PASS output CSV: 1,500 transactions, 1,500 unique Sale_IDs, 50 stores, no missing values.</x:v>
      </x:c>
      <x:c r="H10" s="55" t="str">
        <x:v>TC-009_Approved_Sales_2026-10-19_Isolated_Test.csv</x:v>
      </x:c>
    </x:row>
    <x:row r="11" ht="62" customHeight="1">
      <x:c r="A11" s="55" t="s">
        <x:v>305</x:v>
      </x:c>
      <x:c r="B11" s="55" t="s">
        <x:v>243</x:v>
      </x:c>
      <x:c r="C11" s="55" t="s">
        <x:v>306</x:v>
      </x:c>
      <x:c r="D11" s="55" t="s">
        <x:v>307</x:v>
      </x:c>
      <x:c r="E11" s="55" t="s">
        <x:v>308</x:v>
      </x:c>
      <x:c r="F11" s="89" t="str">
        <x:v>PASS</x:v>
      </x:c>
      <x:c r="G11" s="55" t="str">
        <x:v>Executive Overview displays historical sales $14.44M, gross profit $4.01M, transactions ~829K, margin 27.79%.</x:v>
      </x:c>
      <x:c r="H11" s="55" t="str">
        <x:v>01_Executive_Overview.png</x:v>
      </x:c>
    </x:row>
    <x:row r="12" ht="62" customHeight="1">
      <x:c r="A12" s="55" t="s">
        <x:v>309</x:v>
      </x:c>
      <x:c r="B12" s="55" t="s">
        <x:v>247</x:v>
      </x:c>
      <x:c r="C12" s="55" t="s">
        <x:v>310</x:v>
      </x:c>
      <x:c r="D12" s="55" t="str">
        <x:v>Compare Sales Analysis baseline against Store Location = Downtown filter (BEFORE / AFTER).</x:v>
      </x:c>
      <x:c r="E12" s="55" t="s">
        <x:v>311</x:v>
      </x:c>
      <x:c r="F12" s="89" t="str">
        <x:v>PASS</x:v>
      </x:c>
      <x:c r="G12" s="55" t="str">
        <x:v>User confirms BEFORE / AFTER Sales Analysis filter screenshots and visual response; AFTER image not reviewed here.</x:v>
      </x:c>
      <x:c r="H12" s="55" t="str">
        <x:v>TC-011_Sales_All_Filters_Before_REAL.png; TC-011_Store_Location_Downtown_After.png</x:v>
      </x:c>
    </x:row>
    <x:row r="13" ht="62" customHeight="1">
      <x:c r="A13" s="55" t="s">
        <x:v>312</x:v>
      </x:c>
      <x:c r="B13" s="55" t="s">
        <x:v>251</x:v>
      </x:c>
      <x:c r="C13" s="55" t="s">
        <x:v>313</x:v>
      </x:c>
      <x:c r="D13" s="55" t="str">
        <x:v>Inspect product revenue / profit / margin and compare baseline to selected Toys category.</x:v>
      </x:c>
      <x:c r="E13" s="55" t="s">
        <x:v>314</x:v>
      </x:c>
      <x:c r="F13" s="89" t="str">
        <x:v>PASS</x:v>
      </x:c>
      <x:c r="G13" s="55" t="str">
        <x:v>Product Analysis baseline verified; user confirms category-selection interaction screenshot; selected view not reviewed here.</x:v>
      </x:c>
      <x:c r="H13" s="55" t="str">
        <x:v>TC-012_Product_Analysis_REAL.png; TC-012_Product_Toys_Selected.png</x:v>
      </x:c>
    </x:row>
    <x:row r="14" ht="62" customHeight="1">
      <x:c r="A14" s="55" t="s">
        <x:v>315</x:v>
      </x:c>
      <x:c r="B14" s="55" t="s">
        <x:v>255</x:v>
      </x:c>
      <x:c r="C14" s="55" t="s">
        <x:v>316</x:v>
      </x:c>
      <x:c r="D14" s="55" t="s">
        <x:v>317</x:v>
      </x:c>
      <x:c r="E14" s="55" t="s">
        <x:v>318</x:v>
      </x:c>
      <x:c r="F14" s="89" t="str">
        <x:v>PASS</x:v>
      </x:c>
      <x:c r="G14" s="55" t="str">
        <x:v>Original Python run log records PASS; 50/50 files, 1,500 approved rows, 0 issues.</x:v>
      </x:c>
      <x:c r="H14" s="55" t="str">
        <x:v>2026-10-19_135823_319816_run.log; 2026-10-19_status.json</x:v>
      </x:c>
    </x:row>
    <x:row r="15" ht="62" customHeight="1">
      <x:c r="A15" s="55" t="s">
        <x:v>319</x:v>
      </x:c>
      <x:c r="B15" s="55" t="s">
        <x:v>259</x:v>
      </x:c>
      <x:c r="C15" s="55" t="s">
        <x:v>320</x:v>
      </x:c>
      <x:c r="D15" s="55" t="s">
        <x:v>321</x:v>
      </x:c>
      <x:c r="E15" s="55" t="s">
        <x:v>322</x:v>
      </x:c>
      <x:c r="F15" s="89" t="str">
        <x:v>PASS</x:v>
      </x:c>
      <x:c r="G15" s="55" t="str">
        <x:v>Original Python failure log records MISSING_STORE_FILE (S004), BLOCKED, approved rows = 0.</x:v>
      </x:c>
      <x:c r="H15" s="55" t="str">
        <x:v>TC-014_Failure_Logging.log (source: 2026-10-19_141718_952381_run.log)</x:v>
      </x:c>
    </x:row>
    <x:row r="16" ht="62" customHeight="1">
      <x:c r="A16" s="55" t="s">
        <x:v>323</x:v>
      </x:c>
      <x:c r="B16" s="55" t="s">
        <x:v>263</x:v>
      </x:c>
      <x:c r="C16" s="55" t="s">
        <x:v>324</x:v>
      </x:c>
      <x:c r="D16" s="55" t="str">
        <x:v>Review GitHub scheduled run, Neon SQL totals, Power BI refresh history and updated SQL Validation page.</x:v>
      </x:c>
      <x:c r="E16" s="55" t="s">
        <x:v>325</x:v>
      </x:c>
      <x:c r="F16" s="89" t="str">
        <x:v>PASS</x:v>
      </x:c>
      <x:c r="G16" s="49" t="str">
        <x:v>30-Oct snapshot: Neon and report both 7,500 approved rows (latest 29-Oct, 1,500); GitHub #7 Scheduled Success; Power BI Scheduled Completed and later On-demand Completed. New-batch unattended order not proved.</x:v>
      </x:c>
      <x:c r="H16" s="49" t="str">
        <x:v>TC-015_01_GitHub_Scheduled_Success.png; TC-015_02_Neon_Approved_Sales_Snapshot.png; TC-015_03_PowerBI_Scheduled_Refresh_Completed.png; TC-015_04_PowerBI_SQL_Daily_Validation_7500.png</x:v>
      </x:c>
    </x:row>
  </x:sheetData>
  <x:pageMargins left="0.7" right="0.7" top="0.75" bottom="0.75" header="0.3" footer="0.3"/>
  <x:tableParts count="1">
    <x:tablePart xmlns:r="http://schemas.openxmlformats.org/officeDocument/2006/relationships" r:id="R15c008d8b05148b9"/>
  </x:tableParts>
</x:worksheet>
</file>

<file path=xl/worksheets/sheet8.xml><?xml version="1.0" encoding="utf-8"?>
<x:worksheet xmlns:x="http://schemas.openxmlformats.org/spreadsheetml/2006/main">
  <x:sheetFormatPr defaultRowHeight="15"/>
  <x:cols>
    <x:col min="1" max="1" width="12.28515625" customWidth="1"/>
    <x:col min="2" max="2" width="22.28515625" customWidth="1"/>
    <x:col min="3" max="3" width="67.5703125" customWidth="1"/>
    <x:col min="4" max="4" width="10.7109375" customWidth="1"/>
    <x:col min="5" max="5" width="41.5703125" customWidth="1"/>
    <x:col min="6" max="6" width="45.140625" customWidth="1"/>
    <x:col min="7" max="7" width="9" customWidth="1"/>
    <x:col min="8" max="8" width="31.7109375" customWidth="1"/>
  </x:cols>
  <x:sheetData>
    <x:row r="1">
      <x:c r="A1" t="s">
        <x:v>326</x:v>
      </x:c>
      <x:c r="B1" t="s">
        <x:v>327</x:v>
      </x:c>
      <x:c r="C1" t="s">
        <x:v>328</x:v>
      </x:c>
      <x:c r="D1" t="s">
        <x:v>329</x:v>
      </x:c>
      <x:c r="E1" t="s">
        <x:v>330</x:v>
      </x:c>
      <x:c r="F1" t="s">
        <x:v>331</x:v>
      </x:c>
      <x:c r="G1" t="s">
        <x:v>48</x:v>
      </x:c>
      <x:c r="H1" t="s">
        <x:v>273</x:v>
      </x:c>
    </x:row>
    <x:row r="2">
      <x:c r="A2" t="s">
        <x:v>332</x:v>
      </x:c>
      <x:c r="B2" t="s">
        <x:v>333</x:v>
      </x:c>
      <x:c r="C2" t="s">
        <x:v>334</x:v>
      </x:c>
      <x:c r="D2" t="s">
        <x:v>37</x:v>
      </x:c>
      <x:c r="E2" t="s">
        <x:v>335</x:v>
      </x:c>
      <x:c r="F2" t="s">
        <x:v>336</x:v>
      </x:c>
      <x:c r="G2" t="s">
        <x:v>337</x:v>
      </x:c>
      <x:c r="H2" t="s">
        <x:v>338</x:v>
      </x:c>
    </x:row>
  </x:sheetData>
  <x:pageMargins left="0.7" right="0.7" top="0.75" bottom="0.75" header="0.3" footer="0.3"/>
  <x:tableParts count="1">
    <x:tablePart xmlns:r="http://schemas.openxmlformats.org/officeDocument/2006/relationships" r:id="R7b07b5489fc34580"/>
  </x:tableParts>
</x:worksheet>
</file>

<file path=xl/worksheets/sheet9.xml><?xml version="1.0" encoding="utf-8"?>
<x:worksheet xmlns:x="http://schemas.openxmlformats.org/spreadsheetml/2006/main">
  <x:sheetFormatPr defaultRowHeight="15"/>
  <x:cols>
    <x:col min="1" max="1" width="26" customWidth="1"/>
    <x:col min="2" max="2" width="65" hidden="0" customWidth="1"/>
  </x:cols>
  <x:sheetData>
    <x:row r="1">
      <x:c r="A1" t="s">
        <x:v>339</x:v>
      </x:c>
      <x:c r="B1" t="s">
        <x:v>340</x:v>
      </x:c>
    </x:row>
    <x:row r="2">
      <x:c r="A2" t="s">
        <x:v>341</x:v>
      </x:c>
      <x:c r="B2" t="n">
        <x:f>COUNTA(UAT_Test_Cases!A2:A16)</x:f>
        <x:v>15</x:v>
      </x:c>
    </x:row>
    <x:row r="3">
      <x:c r="A3" t="s">
        <x:v>342</x:v>
      </x:c>
      <x:c r="B3" t="n">
        <x:f>COUNTIF(UAT_Test_Cases!F2:F16,"PASS")</x:f>
        <x:v>15</x:v>
      </x:c>
    </x:row>
    <x:row r="4">
      <x:c r="A4" t="s">
        <x:v>343</x:v>
      </x:c>
      <x:c r="B4" t="n">
        <x:f>COUNTIF(UAT_Test_Cases!F2:F16,"FAIL")</x:f>
        <x:v>0</x:v>
      </x:c>
    </x:row>
    <x:row r="5">
      <x:c r="A5" t="s">
        <x:v>344</x:v>
      </x:c>
      <x:c r="B5" t="n">
        <x:f>COUNTIF(UAT_Test_Cases!F2:F16,"BLOCKED")</x:f>
        <x:v>0</x:v>
      </x:c>
    </x:row>
    <x:row r="6">
      <x:c r="A6" t="s">
        <x:v>345</x:v>
      </x:c>
      <x:c r="B6" t="n">
        <x:f>COUNTIF(UAT_Test_Cases!F2:F16,"Not Run")</x:f>
        <x:v>0</x:v>
      </x:c>
    </x:row>
    <x:row r="7">
      <x:c r="A7" t="s">
        <x:v>346</x:v>
      </x:c>
      <x:c r="B7" t="str">
        <x:v>Pending external stakeholder approval (portfolio simulation)</x:v>
      </x:c>
    </x:row>
    <x:row r="8" ht="44" customHeight="1">
      <x:c r="A8" t="s">
        <x:v>347</x:v>
      </x:c>
      <x:c r="B8" s="47" t="str">
        <x:v>Technical scope completed; same-new-batch fully unattended GitHub→Power BI sequencing not independently verified</x:v>
      </x:c>
    </x:row>
    <x:row r="9">
      <x:c r="A9" s="91" t="str">
        <x:v>Technical_Pass_Rate</x:v>
      </x:c>
      <x:c r="B9" s="90" t="n">
        <x:f>IFERROR(B3/B2,0)</x:f>
        <x:v>1</x:v>
      </x:c>
    </x:row>
    <x:row r="10">
      <x:c r="A10" s="91" t="str">
        <x:v>Cloud_Snapshot_Date</x:v>
      </x:c>
      <x:c r="B10" s="31" t="str">
        <x:v>2026-10-30 | 7,500 approved sales rows | 9,852 units</x:v>
      </x:c>
    </x:row>
    <x:row r="11" ht="130" customHeight="1">
      <x:c r="A11" s="51" t="str">
        <x:v>TECHNICAL UAT: 15/15 case results recorded PASS for the simulated portfolio scope. TC-005–009 use isolated synthetic validation evidence; TC-011/012 interaction screenshots are user-confirmed. As of 30-Oct-2026, Neon and Power BI each show 7,500 approved rows. Scheduled GitHub Actions and scheduled Power BI refresh succeeded independently; a later on-demand refresh shows the new batch. Same-batch unattended run ordering and external stakeholder sign-off are not claimed.</x:v>
      </x:c>
      <x:c r="B11" s="56"/>
    </x:row>
  </x:sheetData>
  <x:mergeCells>
    <x:mergeCell ref="A11:B11"/>
  </x:mergeCells>
  <x:pageMargins left="0.7" right="0.7" top="0.75" bottom="0.75" header="0.3" footer="0.3"/>
  <x:tableParts count="1">
    <x:tablePart xmlns:r="http://schemas.openxmlformats.org/officeDocument/2006/relationships" r:id="Ref44532dff09449a"/>
  </x:tableParts>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7109375" customWidth="1"/>
    <x:col min="2" max="2" width="27.85546875" customWidth="1"/>
    <x:col min="3" max="3" width="40.42578125" customWidth="1"/>
    <x:col min="4" max="4" width="41.7109375" customWidth="1"/>
    <x:col min="5" max="5" width="41.28515625" customWidth="1"/>
    <x:col min="6" max="6" width="47.85546875" customWidth="1"/>
    <x:col min="7" max="7" width="26.5703125" customWidth="1"/>
    <x:col min="8" max="8" width="23.28515625" customWidth="1"/>
  </x:cols>
  <x:sheetData>
    <x:row r="1">
      <x:c r="A1" t="s">
        <x:v>348</x:v>
      </x:c>
      <x:c r="B1" t="s">
        <x:v>349</x:v>
      </x:c>
      <x:c r="C1" t="s">
        <x:v>350</x:v>
      </x:c>
      <x:c r="D1" t="s">
        <x:v>351</x:v>
      </x:c>
      <x:c r="E1" t="s">
        <x:v>352</x:v>
      </x:c>
      <x:c r="F1" t="s">
        <x:v>353</x:v>
      </x:c>
      <x:c r="G1" t="s">
        <x:v>5</x:v>
      </x:c>
      <x:c r="H1" t="s">
        <x:v>354</x:v>
      </x:c>
    </x:row>
    <x:row r="2" ht="30">
      <x:c r="A2" s="3" t="s">
        <x:v>355</x:v>
      </x:c>
      <x:c r="B2" s="3" t="s">
        <x:v>356</x:v>
      </x:c>
      <x:c r="C2" s="3" t="s">
        <x:v>357</x:v>
      </x:c>
      <x:c r="D2" s="3" t="s">
        <x:v>358</x:v>
      </x:c>
      <x:c r="E2" s="3" t="s">
        <x:v>359</x:v>
      </x:c>
      <x:c r="F2" s="3" t="s">
        <x:v>360</x:v>
      </x:c>
      <x:c r="G2" s="3" t="s">
        <x:v>361</x:v>
      </x:c>
      <x:c r="H2" s="3" t="s">
        <x:v>7</x:v>
      </x:c>
    </x:row>
    <x:row r="3" ht="30">
      <x:c r="A3" s="3" t="s">
        <x:v>362</x:v>
      </x:c>
      <x:c r="B3" s="3" t="s">
        <x:v>363</x:v>
      </x:c>
      <x:c r="C3" s="3" t="s">
        <x:v>364</x:v>
      </x:c>
      <x:c r="D3" s="3" t="s">
        <x:v>365</x:v>
      </x:c>
      <x:c r="E3" s="3" t="s">
        <x:v>366</x:v>
      </x:c>
      <x:c r="F3" s="3" t="s">
        <x:v>367</x:v>
      </x:c>
      <x:c r="G3" s="3" t="s">
        <x:v>361</x:v>
      </x:c>
      <x:c r="H3" s="3" t="s">
        <x:v>14</x:v>
      </x:c>
    </x:row>
    <x:row r="4" ht="30">
      <x:c r="A4" s="3" t="s">
        <x:v>368</x:v>
      </x:c>
      <x:c r="B4" s="3" t="s">
        <x:v>369</x:v>
      </x:c>
      <x:c r="C4" s="3" t="s">
        <x:v>370</x:v>
      </x:c>
      <x:c r="D4" s="3" t="s">
        <x:v>371</x:v>
      </x:c>
      <x:c r="E4" s="3" t="s">
        <x:v>372</x:v>
      </x:c>
      <x:c r="F4" s="3" t="s">
        <x:v>373</x:v>
      </x:c>
      <x:c r="G4" s="3" t="s">
        <x:v>374</x:v>
      </x:c>
      <x:c r="H4" s="3" t="s">
        <x:v>7</x:v>
      </x:c>
    </x:row>
    <x:row r="5" ht="30">
      <x:c r="A5" s="3" t="s">
        <x:v>375</x:v>
      </x:c>
      <x:c r="B5" s="3" t="s">
        <x:v>376</x:v>
      </x:c>
      <x:c r="C5" s="3" t="s">
        <x:v>377</x:v>
      </x:c>
      <x:c r="D5" s="3" t="s">
        <x:v>378</x:v>
      </x:c>
      <x:c r="E5" s="3" t="s">
        <x:v>379</x:v>
      </x:c>
      <x:c r="F5" s="3" t="s">
        <x:v>380</x:v>
      </x:c>
      <x:c r="G5" s="3" t="s">
        <x:v>361</x:v>
      </x:c>
      <x:c r="H5" s="3" t="s">
        <x:v>17</x:v>
      </x:c>
    </x:row>
    <x:row r="6" ht="30">
      <x:c r="A6" s="3" t="s">
        <x:v>381</x:v>
      </x:c>
      <x:c r="B6" s="3" t="s">
        <x:v>382</x:v>
      </x:c>
      <x:c r="C6" s="3" t="s">
        <x:v>383</x:v>
      </x:c>
      <x:c r="D6" s="3" t="s">
        <x:v>384</x:v>
      </x:c>
      <x:c r="E6" s="3" t="s">
        <x:v>385</x:v>
      </x:c>
      <x:c r="F6" s="3" t="s">
        <x:v>386</x:v>
      </x:c>
      <x:c r="G6" s="3" t="s">
        <x:v>361</x:v>
      </x:c>
      <x:c r="H6" s="3" t="s">
        <x:v>21</x:v>
      </x:c>
    </x:row>
    <x:row r="7" ht="30">
      <x:c r="A7" s="3" t="s">
        <x:v>387</x:v>
      </x:c>
      <x:c r="B7" s="3" t="s">
        <x:v>388</x:v>
      </x:c>
      <x:c r="C7" s="3" t="s">
        <x:v>389</x:v>
      </x:c>
      <x:c r="D7" s="3" t="s">
        <x:v>390</x:v>
      </x:c>
      <x:c r="E7" s="3" t="s">
        <x:v>391</x:v>
      </x:c>
      <x:c r="F7" s="3" t="s">
        <x:v>392</x:v>
      </x:c>
      <x:c r="G7" s="3" t="s">
        <x:v>361</x:v>
      </x:c>
      <x:c r="H7" s="3" t="s">
        <x:v>24</x:v>
      </x:c>
    </x:row>
    <x:row r="8" ht="30">
      <x:c r="A8" s="3" t="s">
        <x:v>393</x:v>
      </x:c>
      <x:c r="B8" s="3" t="s">
        <x:v>394</x:v>
      </x:c>
      <x:c r="C8" s="3" t="s">
        <x:v>395</x:v>
      </x:c>
      <x:c r="D8" s="3" t="s">
        <x:v>396</x:v>
      </x:c>
      <x:c r="E8" s="3" t="s">
        <x:v>397</x:v>
      </x:c>
      <x:c r="F8" s="3" t="s">
        <x:v>398</x:v>
      </x:c>
      <x:c r="G8" s="3" t="s">
        <x:v>361</x:v>
      </x:c>
      <x:c r="H8" s="3" t="s">
        <x:v>39</x:v>
      </x:c>
    </x:row>
    <x:row r="9" ht="30">
      <x:c r="A9" s="3" t="s">
        <x:v>399</x:v>
      </x:c>
      <x:c r="B9" s="3" t="s">
        <x:v>400</x:v>
      </x:c>
      <x:c r="C9" s="3" t="s">
        <x:v>401</x:v>
      </x:c>
      <x:c r="D9" s="3" t="str">
        <x:v>GitHub Actions runs the cloud Python validation + Neon loader on a schedule; Windows Task Scheduler was the legacy local approach</x:v>
      </x:c>
      <x:c r="E9" s="3" t="s">
        <x:v>402</x:v>
      </x:c>
      <x:c r="F9" s="3" t="str">
        <x:v>Laptop-independent scheduled execution; GitHub may delay jobs</x:v>
      </x:c>
      <x:c r="G9" s="45" t="str">
        <x:v>Implemented — GitHub scheduled run #7 verified 30-Oct-2026</x:v>
      </x:c>
      <x:c r="H9" s="3" t="s">
        <x:v>39</x:v>
      </x:c>
    </x:row>
    <x:row r="10" ht="30">
      <x:c r="A10" s="3" t="s">
        <x:v>403</x:v>
      </x:c>
      <x:c r="B10" s="3" t="s">
        <x:v>404</x:v>
      </x:c>
      <x:c r="C10" s="3" t="s">
        <x:v>405</x:v>
      </x:c>
      <x:c r="D10" s="3" t="s">
        <x:v>406</x:v>
      </x:c>
      <x:c r="E10" s="3" t="s">
        <x:v>407</x:v>
      </x:c>
      <x:c r="F10" s="3" t="s">
        <x:v>408</x:v>
      </x:c>
      <x:c r="G10" s="3" t="s">
        <x:v>409</x:v>
      </x:c>
      <x:c r="H10" s="3" t="s">
        <x:v>27</x:v>
      </x:c>
    </x:row>
    <x:row r="11" ht="30">
      <x:c r="A11" s="3" t="s">
        <x:v>410</x:v>
      </x:c>
      <x:c r="B11" s="3" t="s">
        <x:v>411</x:v>
      </x:c>
      <x:c r="C11" s="3" t="s">
        <x:v>412</x:v>
      </x:c>
      <x:c r="D11" s="3" t="str">
        <x:v>Power BI Service refreshes its Neon PostgreSQL cloud source using a scheduled semantic-model refresh</x:v>
      </x:c>
      <x:c r="E11" s="3" t="str">
        <x:v>Original gap (resolved in technical setup): dashboard refresh required separate manual steps</x:v>
      </x:c>
      <x:c r="F11" s="3" t="str">
        <x:v>Approved rows are visible on online dashboards after a successful refresh; confirm schedule order for every new batch</x:v>
      </x:c>
      <x:c r="G11" s="45" t="str">
        <x:v>Implemented - Scheduled Power BI refresh verified</x:v>
      </x:c>
      <x:c r="H11" s="3" t="s">
        <x:v>42</x:v>
      </x:c>
    </x:row>
  </x:sheetData>
  <x:pageMargins left="0.7" right="0.7" top="0.75" bottom="0.75" header="0.3" footer="0.3"/>
  <x:tableParts count="1">
    <x:tablePart xmlns:r="http://schemas.openxmlformats.org/officeDocument/2006/relationships" r:id="R5265c2a136cd4f86"/>
  </x:tableParts>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85546875" customWidth="1"/>
    <x:col min="2" max="2" width="26.85546875" customWidth="1"/>
    <x:col min="3" max="3" width="49.28515625" customWidth="1"/>
    <x:col min="4" max="4" width="75.42578125" customWidth="1"/>
    <x:col min="5" max="5" width="30.28515625" customWidth="1"/>
    <x:col min="6" max="6" width="36.7109375" customWidth="1"/>
    <x:col min="7" max="7" width="28" customWidth="1"/>
  </x:cols>
  <x:sheetData>
    <x:row r="1">
      <x:c r="A1" t="s">
        <x:v>413</x:v>
      </x:c>
      <x:c r="B1" t="s">
        <x:v>414</x:v>
      </x:c>
      <x:c r="C1" t="s">
        <x:v>415</x:v>
      </x:c>
      <x:c r="D1" t="s">
        <x:v>416</x:v>
      </x:c>
      <x:c r="E1" t="s">
        <x:v>417</x:v>
      </x:c>
      <x:c r="F1" t="s">
        <x:v>418</x:v>
      </x:c>
      <x:c r="G1" t="s">
        <x:v>419</x:v>
      </x:c>
    </x:row>
    <x:row r="2">
      <x:c r="A2" t="s">
        <x:v>420</x:v>
      </x:c>
      <x:c r="B2" t="s">
        <x:v>421</x:v>
      </x:c>
      <x:c r="C2" t="s">
        <x:v>422</x:v>
      </x:c>
      <x:c r="D2" t="s">
        <x:v>423</x:v>
      </x:c>
      <x:c r="E2" t="s">
        <x:v>424</x:v>
      </x:c>
      <x:c r="F2" t="s">
        <x:v>425</x:v>
      </x:c>
      <x:c r="G2" t="s">
        <x:v>426</x:v>
      </x:c>
    </x:row>
    <x:row r="3">
      <x:c r="A3" t="s">
        <x:v>427</x:v>
      </x:c>
      <x:c r="B3" t="s">
        <x:v>428</x:v>
      </x:c>
      <x:c r="C3" t="s">
        <x:v>429</x:v>
      </x:c>
      <x:c r="D3" t="s">
        <x:v>430</x:v>
      </x:c>
      <x:c r="E3" t="s">
        <x:v>424</x:v>
      </x:c>
      <x:c r="F3" t="s">
        <x:v>431</x:v>
      </x:c>
      <x:c r="G3" t="s">
        <x:v>426</x:v>
      </x:c>
    </x:row>
    <x:row r="4">
      <x:c r="A4" t="s">
        <x:v>432</x:v>
      </x:c>
      <x:c r="B4" t="s">
        <x:v>433</x:v>
      </x:c>
      <x:c r="C4" t="s">
        <x:v>434</x:v>
      </x:c>
      <x:c r="D4" t="s">
        <x:v>435</x:v>
      </x:c>
      <x:c r="E4" t="s">
        <x:v>424</x:v>
      </x:c>
      <x:c r="F4" t="s">
        <x:v>436</x:v>
      </x:c>
      <x:c r="G4" t="s">
        <x:v>426</x:v>
      </x:c>
    </x:row>
    <x:row r="5">
      <x:c r="A5" t="s">
        <x:v>437</x:v>
      </x:c>
      <x:c r="B5" t="s">
        <x:v>438</x:v>
      </x:c>
      <x:c r="C5" t="s">
        <x:v>439</x:v>
      </x:c>
      <x:c r="D5" t="s">
        <x:v>440</x:v>
      </x:c>
      <x:c r="E5" t="s">
        <x:v>441</x:v>
      </x:c>
      <x:c r="F5" t="s">
        <x:v>442</x:v>
      </x:c>
      <x:c r="G5" t="s">
        <x:v>426</x:v>
      </x:c>
    </x:row>
    <x:row r="6">
      <x:c r="A6" t="s">
        <x:v>443</x:v>
      </x:c>
      <x:c r="B6" t="s">
        <x:v>444</x:v>
      </x:c>
      <x:c r="C6" t="s">
        <x:v>445</x:v>
      </x:c>
      <x:c r="D6" t="s">
        <x:v>446</x:v>
      </x:c>
      <x:c r="E6" t="s">
        <x:v>441</x:v>
      </x:c>
      <x:c r="F6" t="s">
        <x:v>447</x:v>
      </x:c>
      <x:c r="G6" t="s">
        <x:v>426</x:v>
      </x:c>
    </x:row>
    <x:row r="7">
      <x:c r="A7" t="s">
        <x:v>448</x:v>
      </x:c>
      <x:c r="B7" t="s">
        <x:v>449</x:v>
      </x:c>
      <x:c r="C7" t="s">
        <x:v>450</x:v>
      </x:c>
      <x:c r="D7" t="s">
        <x:v>451</x:v>
      </x:c>
      <x:c r="E7" t="s">
        <x:v>424</x:v>
      </x:c>
      <x:c r="F7" t="s">
        <x:v>452</x:v>
      </x:c>
      <x:c r="G7" t="s">
        <x:v>426</x:v>
      </x:c>
    </x:row>
    <x:row r="8">
      <x:c r="A8" t="s">
        <x:v>453</x:v>
      </x:c>
      <x:c r="B8" t="s">
        <x:v>454</x:v>
      </x:c>
      <x:c r="C8" t="s">
        <x:v>455</x:v>
      </x:c>
      <x:c r="D8" t="s">
        <x:v>456</x:v>
      </x:c>
      <x:c r="E8" t="s">
        <x:v>457</x:v>
      </x:c>
      <x:c r="F8" t="s">
        <x:v>458</x:v>
      </x:c>
      <x:c r="G8" t="s">
        <x:v>426</x:v>
      </x:c>
    </x:row>
    <x:row r="9">
      <x:c r="A9" t="s">
        <x:v>459</x:v>
      </x:c>
      <x:c r="B9" t="s">
        <x:v>460</x:v>
      </x:c>
      <x:c r="C9" t="s">
        <x:v>461</x:v>
      </x:c>
      <x:c r="D9" t="s">
        <x:v>462</x:v>
      </x:c>
      <x:c r="E9" t="s">
        <x:v>463</x:v>
      </x:c>
      <x:c r="F9" t="s">
        <x:v>464</x:v>
      </x:c>
      <x:c r="G9" t="s">
        <x:v>465</x:v>
      </x:c>
    </x:row>
    <x:row r="10">
      <x:c r="A10" t="s">
        <x:v>466</x:v>
      </x:c>
      <x:c r="B10" t="s">
        <x:v>467</x:v>
      </x:c>
      <x:c r="C10" t="s">
        <x:v>468</x:v>
      </x:c>
      <x:c r="D10" t="str">
        <x:v>SQL: COUNT(*) FROM daily.approved_sales; BI: COUNTROWS('sql_Daily_Approved_Sales') (table name in this model)</x:v>
      </x:c>
      <x:c r="E10" t="str">
        <x:v>Neon daily.approved_sales; Power BI SQL Daily Data Validation page</x:v>
      </x:c>
      <x:c r="F10" t="s">
        <x:v>469</x:v>
      </x:c>
      <x:c r="G10" t="str">
        <x:v>7,500 approved transactions / 9,852 units as of 30-Oct-2026; point-in-time snapshot, updated with future batches</x:v>
      </x:c>
    </x:row>
  </x:sheetData>
  <x:pageMargins left="0.7" right="0.7" top="0.75" bottom="0.75" header="0.3" footer="0.3"/>
  <x:tableParts count="1">
    <x:tablePart xmlns:r="http://schemas.openxmlformats.org/officeDocument/2006/relationships" r:id="R4db6256851014429"/>
  </x:tableParts>
</x:worksheet>
</file>

<file path=xl/worksheets/sheet12.xml><?xml version="1.0" encoding="utf-8"?>
<x:worksheet xmlns:x="http://schemas.openxmlformats.org/spreadsheetml/2006/main">
  <x:sheetFormatPr defaultRowHeight="15"/>
  <x:cols>
    <x:col min="1" max="1" width="8.42578125" customWidth="1"/>
    <x:col min="2" max="2" width="50.5703125" customWidth="1"/>
    <x:col min="3" max="3" width="79.85546875" customWidth="1"/>
    <x:col min="4" max="4" width="27.140625" customWidth="1"/>
    <x:col min="5" max="5" width="58.42578125" customWidth="1"/>
    <x:col min="6" max="6" width="49.7109375" customWidth="1"/>
  </x:cols>
  <x:sheetData>
    <x:row r="1">
      <x:c r="A1" t="s">
        <x:v>470</x:v>
      </x:c>
      <x:c r="B1" t="s">
        <x:v>415</x:v>
      </x:c>
      <x:c r="C1" t="s">
        <x:v>471</x:v>
      </x:c>
      <x:c r="D1" t="s">
        <x:v>472</x:v>
      </x:c>
      <x:c r="E1" t="s">
        <x:v>473</x:v>
      </x:c>
      <x:c r="F1" t="s">
        <x:v>474</x:v>
      </x:c>
    </x:row>
    <x:row r="2">
      <x:c r="A2" t="s">
        <x:v>475</x:v>
      </x:c>
      <x:c r="B2" t="s">
        <x:v>476</x:v>
      </x:c>
      <x:c r="C2" t="s">
        <x:v>477</x:v>
      </x:c>
      <x:c r="D2" t="s">
        <x:v>478</x:v>
      </x:c>
      <x:c r="E2" t="s">
        <x:v>479</x:v>
      </x:c>
      <x:c r="F2" t="s">
        <x:v>480</x:v>
      </x:c>
    </x:row>
    <x:row r="3">
      <x:c r="A3" t="s">
        <x:v>481</x:v>
      </x:c>
      <x:c r="B3" t="s">
        <x:v>482</x:v>
      </x:c>
      <x:c r="C3" t="s">
        <x:v>483</x:v>
      </x:c>
      <x:c r="D3" t="s">
        <x:v>478</x:v>
      </x:c>
      <x:c r="E3" t="s">
        <x:v>484</x:v>
      </x:c>
      <x:c r="F3" t="s">
        <x:v>485</x:v>
      </x:c>
    </x:row>
    <x:row r="4">
      <x:c r="A4" t="s">
        <x:v>486</x:v>
      </x:c>
      <x:c r="B4" t="s">
        <x:v>487</x:v>
      </x:c>
      <x:c r="C4" t="s">
        <x:v>488</x:v>
      </x:c>
      <x:c r="D4" t="s">
        <x:v>478</x:v>
      </x:c>
      <x:c r="E4" t="s">
        <x:v>489</x:v>
      </x:c>
      <x:c r="F4" t="s">
        <x:v>490</x:v>
      </x:c>
    </x:row>
    <x:row r="5">
      <x:c r="A5" t="s">
        <x:v>491</x:v>
      </x:c>
      <x:c r="B5" t="s">
        <x:v>492</x:v>
      </x:c>
      <x:c r="C5" t="s">
        <x:v>493</x:v>
      </x:c>
      <x:c r="D5" t="s">
        <x:v>494</x:v>
      </x:c>
      <x:c r="E5" t="s">
        <x:v>495</x:v>
      </x:c>
      <x:c r="F5" t="s">
        <x:v>496</x:v>
      </x:c>
    </x:row>
    <x:row r="6">
      <x:c r="A6" t="s">
        <x:v>497</x:v>
      </x:c>
      <x:c r="B6" t="s">
        <x:v>498</x:v>
      </x:c>
      <x:c r="C6" t="s">
        <x:v>499</x:v>
      </x:c>
      <x:c r="D6" t="s">
        <x:v>494</x:v>
      </x:c>
      <x:c r="E6" t="s">
        <x:v>500</x:v>
      </x:c>
      <x:c r="F6" t="s">
        <x:v>501</x:v>
      </x:c>
    </x:row>
    <x:row r="7">
      <x:c r="A7" t="s">
        <x:v>502</x:v>
      </x:c>
      <x:c r="B7" t="s">
        <x:v>503</x:v>
      </x:c>
      <x:c r="C7" t="s">
        <x:v>504</x:v>
      </x:c>
      <x:c r="D7" t="s">
        <x:v>505</x:v>
      </x:c>
      <x:c r="E7" t="s">
        <x:v>506</x:v>
      </x:c>
      <x:c r="F7" t="s">
        <x:v>507</x:v>
      </x:c>
    </x:row>
  </x:sheetData>
  <x:pageMargins left="0.7" right="0.7" top="0.75" bottom="0.75" header="0.3" footer="0.3"/>
  <x:tableParts count="1">
    <x:tablePart xmlns:r="http://schemas.openxmlformats.org/officeDocument/2006/relationships" r:id="Rdc659f951b034897"/>
  </x:tableParts>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7109375" customWidth="1"/>
    <x:col min="2" max="2" width="52.42578125" style="6" customWidth="1"/>
    <x:col min="3" max="3" width="42.140625" style="6" customWidth="1"/>
    <x:col min="4" max="4" width="38.7109375" style="6" customWidth="1"/>
    <x:col min="5" max="5" width="50.28515625" style="6" customWidth="1"/>
    <x:col min="6" max="6" width="9.85546875" customWidth="1"/>
    <x:col min="7" max="7" width="21.5703125" customWidth="1"/>
  </x:cols>
  <x:sheetData>
    <x:row r="1">
      <x:c r="A1" t="s">
        <x:v>508</x:v>
      </x:c>
      <x:c r="B1" s="6" t="s">
        <x:v>509</x:v>
      </x:c>
      <x:c r="C1" s="6" t="s">
        <x:v>273</x:v>
      </x:c>
      <x:c r="D1" s="6" t="s">
        <x:v>510</x:v>
      </x:c>
      <x:c r="E1" s="6" t="s">
        <x:v>511</x:v>
      </x:c>
      <x:c r="F1" t="s">
        <x:v>3</x:v>
      </x:c>
      <x:c r="G1" t="s">
        <x:v>472</x:v>
      </x:c>
    </x:row>
    <x:row r="2" ht="30">
      <x:c r="A2" t="s">
        <x:v>512</x:v>
      </x:c>
      <x:c r="B2" s="6" t="s">
        <x:v>513</x:v>
      </x:c>
      <x:c r="C2" s="6" t="s">
        <x:v>514</x:v>
      </x:c>
      <x:c r="D2" s="6" t="s">
        <x:v>515</x:v>
      </x:c>
      <x:c r="E2" s="6" t="s">
        <x:v>516</x:v>
      </x:c>
      <x:c r="F2" t="s">
        <x:v>10</x:v>
      </x:c>
      <x:c r="G2" t="s">
        <x:v>478</x:v>
      </x:c>
    </x:row>
    <x:row r="3" ht="30">
      <x:c r="A3" t="s">
        <x:v>517</x:v>
      </x:c>
      <x:c r="B3" s="6" t="s">
        <x:v>518</x:v>
      </x:c>
      <x:c r="C3" s="6" t="s">
        <x:v>519</x:v>
      </x:c>
      <x:c r="D3" s="6" t="s">
        <x:v>520</x:v>
      </x:c>
      <x:c r="E3" s="6" t="s">
        <x:v>521</x:v>
      </x:c>
      <x:c r="F3" t="s">
        <x:v>10</x:v>
      </x:c>
      <x:c r="G3" t="s">
        <x:v>478</x:v>
      </x:c>
    </x:row>
    <x:row r="4" ht="30">
      <x:c r="A4" t="s">
        <x:v>522</x:v>
      </x:c>
      <x:c r="B4" s="6" t="s">
        <x:v>523</x:v>
      </x:c>
      <x:c r="C4" s="6" t="s">
        <x:v>524</x:v>
      </x:c>
      <x:c r="D4" s="6" t="s">
        <x:v>525</x:v>
      </x:c>
      <x:c r="E4" s="6" t="s">
        <x:v>526</x:v>
      </x:c>
      <x:c r="F4" t="s">
        <x:v>10</x:v>
      </x:c>
      <x:c r="G4" t="s">
        <x:v>478</x:v>
      </x:c>
    </x:row>
    <x:row r="5" ht="30">
      <x:c r="A5" t="s">
        <x:v>527</x:v>
      </x:c>
      <x:c r="B5" s="6" t="s">
        <x:v>528</x:v>
      </x:c>
      <x:c r="C5" s="6" t="s">
        <x:v>529</x:v>
      </x:c>
      <x:c r="D5" s="6" t="s">
        <x:v>530</x:v>
      </x:c>
      <x:c r="E5" s="6" t="s">
        <x:v>531</x:v>
      </x:c>
      <x:c r="F5" t="s">
        <x:v>10</x:v>
      </x:c>
      <x:c r="G5" t="s">
        <x:v>478</x:v>
      </x:c>
    </x:row>
    <x:row r="6" ht="30">
      <x:c r="A6" t="s">
        <x:v>532</x:v>
      </x:c>
      <x:c r="B6" s="6" t="s">
        <x:v>533</x:v>
      </x:c>
      <x:c r="C6" s="6" t="s">
        <x:v>529</x:v>
      </x:c>
      <x:c r="D6" s="6" t="s">
        <x:v>534</x:v>
      </x:c>
      <x:c r="E6" s="6" t="s">
        <x:v>535</x:v>
      </x:c>
      <x:c r="F6" t="s">
        <x:v>10</x:v>
      </x:c>
      <x:c r="G6" t="s">
        <x:v>478</x:v>
      </x:c>
    </x:row>
    <x:row r="7" ht="30">
      <x:c r="A7" t="s">
        <x:v>536</x:v>
      </x:c>
      <x:c r="B7" s="6" t="s">
        <x:v>537</x:v>
      </x:c>
      <x:c r="C7" s="6" t="s">
        <x:v>529</x:v>
      </x:c>
      <x:c r="D7" s="6" t="s">
        <x:v>538</x:v>
      </x:c>
      <x:c r="E7" s="6" t="s">
        <x:v>539</x:v>
      </x:c>
      <x:c r="F7" t="s">
        <x:v>37</x:v>
      </x:c>
      <x:c r="G7" t="s">
        <x:v>478</x:v>
      </x:c>
    </x:row>
    <x:row r="8" ht="30">
      <x:c r="A8" t="s">
        <x:v>540</x:v>
      </x:c>
      <x:c r="B8" s="6" t="s">
        <x:v>541</x:v>
      </x:c>
      <x:c r="C8" s="6" t="s">
        <x:v>542</x:v>
      </x:c>
      <x:c r="D8" s="6" t="s">
        <x:v>543</x:v>
      </x:c>
      <x:c r="E8" s="6" t="s">
        <x:v>544</x:v>
      </x:c>
      <x:c r="F8" t="s">
        <x:v>10</x:v>
      </x:c>
      <x:c r="G8" t="s">
        <x:v>545</x:v>
      </x:c>
    </x:row>
    <x:row r="9" ht="30">
      <x:c r="A9" t="s">
        <x:v>546</x:v>
      </x:c>
      <x:c r="B9" s="6" t="s">
        <x:v>547</x:v>
      </x:c>
      <x:c r="C9" s="6" t="s">
        <x:v>548</x:v>
      </x:c>
      <x:c r="D9" s="6" t="s">
        <x:v>549</x:v>
      </x:c>
      <x:c r="E9" s="6" t="s">
        <x:v>550</x:v>
      </x:c>
      <x:c r="F9" t="s">
        <x:v>37</x:v>
      </x:c>
      <x:c r="G9" t="s">
        <x:v>545</x:v>
      </x:c>
    </x:row>
  </x:sheetData>
  <x:pageMargins left="0.7" right="0.7" top="0.75" bottom="0.75" header="0.3" footer="0.3"/>
  <x:tableParts count="1">
    <x:tablePart xmlns:r="http://schemas.openxmlformats.org/officeDocument/2006/relationships" r:id="Reae182ec454d4cb5"/>
  </x:tableParts>
</x:worksheet>
</file>

<file path=xl/worksheets/sheet14.xml><?xml version="1.0" encoding="utf-8"?>
<x:worksheet xmlns:x="http://schemas.openxmlformats.org/spreadsheetml/2006/main">
  <x:sheetFormatPr defaultRowHeight="15"/>
  <x:cols>
    <x:col min="1" max="1" width="12.7109375" customWidth="1"/>
    <x:col min="2" max="2" width="26" customWidth="1"/>
    <x:col min="3" max="3" width="26.28515625" customWidth="1"/>
    <x:col min="4" max="4" width="75.28515625" customWidth="1"/>
    <x:col min="5" max="5" width="48.7109375" customWidth="1"/>
    <x:col min="6" max="6" width="18.28515625" customWidth="1"/>
  </x:cols>
  <x:sheetData>
    <x:row r="1">
      <x:c r="A1" t="s">
        <x:v>508</x:v>
      </x:c>
      <x:c r="B1" t="s">
        <x:v>551</x:v>
      </x:c>
      <x:c r="C1" t="s">
        <x:v>273</x:v>
      </x:c>
      <x:c r="D1" t="s">
        <x:v>552</x:v>
      </x:c>
      <x:c r="E1" t="s">
        <x:v>511</x:v>
      </x:c>
      <x:c r="F1" t="s">
        <x:v>472</x:v>
      </x:c>
    </x:row>
    <x:row r="2">
      <x:c r="A2" t="s">
        <x:v>553</x:v>
      </x:c>
      <x:c r="B2" t="s">
        <x:v>554</x:v>
      </x:c>
      <x:c r="C2" t="s">
        <x:v>555</x:v>
      </x:c>
      <x:c r="D2" t="s">
        <x:v>556</x:v>
      </x:c>
      <x:c r="E2" t="s">
        <x:v>557</x:v>
      </x:c>
      <x:c r="F2" t="s">
        <x:v>478</x:v>
      </x:c>
    </x:row>
    <x:row r="3">
      <x:c r="A3" t="s">
        <x:v>558</x:v>
      </x:c>
      <x:c r="B3" t="s">
        <x:v>559</x:v>
      </x:c>
      <x:c r="C3" t="s">
        <x:v>560</x:v>
      </x:c>
      <x:c r="D3" t="s">
        <x:v>561</x:v>
      </x:c>
      <x:c r="E3" t="s">
        <x:v>562</x:v>
      </x:c>
      <x:c r="F3" t="s">
        <x:v>478</x:v>
      </x:c>
    </x:row>
    <x:row r="4">
      <x:c r="A4" t="s">
        <x:v>563</x:v>
      </x:c>
      <x:c r="B4" t="s">
        <x:v>564</x:v>
      </x:c>
      <x:c r="C4" t="s">
        <x:v>565</x:v>
      </x:c>
      <x:c r="D4" t="s">
        <x:v>566</x:v>
      </x:c>
      <x:c r="E4" t="s">
        <x:v>567</x:v>
      </x:c>
      <x:c r="F4" t="s">
        <x:v>478</x:v>
      </x:c>
    </x:row>
    <x:row r="5">
      <x:c r="A5" t="s">
        <x:v>568</x:v>
      </x:c>
      <x:c r="B5" t="s">
        <x:v>569</x:v>
      </x:c>
      <x:c r="C5" t="s">
        <x:v>570</x:v>
      </x:c>
      <x:c r="D5" t="s">
        <x:v>571</x:v>
      </x:c>
      <x:c r="E5" t="s">
        <x:v>572</x:v>
      </x:c>
      <x:c r="F5" t="s">
        <x:v>478</x:v>
      </x:c>
    </x:row>
    <x:row r="6">
      <x:c r="A6" t="s">
        <x:v>573</x:v>
      </x:c>
      <x:c r="B6" t="s">
        <x:v>574</x:v>
      </x:c>
      <x:c r="C6" t="s">
        <x:v>575</x:v>
      </x:c>
      <x:c r="D6" t="s">
        <x:v>576</x:v>
      </x:c>
      <x:c r="E6" t="s">
        <x:v>577</x:v>
      </x:c>
      <x:c r="F6" t="s">
        <x:v>478</x:v>
      </x:c>
    </x:row>
    <x:row r="7">
      <x:c r="A7" t="s">
        <x:v>578</x:v>
      </x:c>
      <x:c r="B7" t="s">
        <x:v>579</x:v>
      </x:c>
      <x:c r="C7" t="s">
        <x:v>580</x:v>
      </x:c>
      <x:c r="D7" t="s">
        <x:v>581</x:v>
      </x:c>
      <x:c r="E7" t="s">
        <x:v>582</x:v>
      </x:c>
      <x:c r="F7" t="s">
        <x:v>478</x:v>
      </x:c>
    </x:row>
    <x:row r="8">
      <x:c r="A8" t="s">
        <x:v>583</x:v>
      </x:c>
      <x:c r="B8" t="s">
        <x:v>584</x:v>
      </x:c>
      <x:c r="C8" t="s">
        <x:v>585</x:v>
      </x:c>
      <x:c r="D8" t="s">
        <x:v>586</x:v>
      </x:c>
      <x:c r="E8" t="s">
        <x:v>587</x:v>
      </x:c>
      <x:c r="F8" t="s">
        <x:v>478</x:v>
      </x:c>
    </x:row>
    <x:row r="9">
      <x:c r="A9" t="s">
        <x:v>588</x:v>
      </x:c>
      <x:c r="B9" t="s">
        <x:v>589</x:v>
      </x:c>
      <x:c r="C9" s="53" t="str">
        <x:v>Not calculated in the validated project evidence</x:v>
      </x:c>
      <x:c r="D9" t="str">
        <x:v>Top product by high-value outlier count not established in saved evidence</x:v>
      </x:c>
      <x:c r="E9" t="s">
        <x:v>590</x:v>
      </x:c>
      <x:c r="F9" t="str">
        <x:v>Unverified - optional follow-up SQL</x:v>
      </x:c>
    </x:row>
    <x:row r="10">
      <x:c r="A10" t="s">
        <x:v>591</x:v>
      </x:c>
      <x:c r="B10" t="s">
        <x:v>592</x:v>
      </x:c>
      <x:c r="C10" s="53" t="str">
        <x:v>Not calculated in the validated project evidence</x:v>
      </x:c>
      <x:c r="D10" t="str">
        <x:v>City with highest outlier rate not established in saved evidence</x:v>
      </x:c>
      <x:c r="E10" t="s">
        <x:v>593</x:v>
      </x:c>
      <x:c r="F10" t="str">
        <x:v>Unverified - optional follow-up SQL</x:v>
      </x:c>
    </x:row>
    <x:row r="11">
      <x:c r="A11" t="s">
        <x:v>594</x:v>
      </x:c>
      <x:c r="B11" t="s">
        <x:v>595</x:v>
      </x:c>
      <x:c r="C11" s="53" t="str">
        <x:v>Not calculated in the validated project evidence</x:v>
      </x:c>
      <x:c r="D11" t="str">
        <x:v>Category with highest outlier rate not established in saved evidence</x:v>
      </x:c>
      <x:c r="E11" t="s">
        <x:v>596</x:v>
      </x:c>
      <x:c r="F11" t="str">
        <x:v>Unverified - optional follow-up SQL</x:v>
      </x:c>
    </x:row>
  </x:sheetData>
  <x:pageMargins left="0.7" right="0.7" top="0.75" bottom="0.75" header="0.3" footer="0.3"/>
  <x:tableParts count="1">
    <x:tablePart xmlns:r="http://schemas.openxmlformats.org/officeDocument/2006/relationships" r:id="R0a9c7f6a9bdd47dc"/>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6" hidden="0" customWidth="1"/>
    <x:col min="2" max="2" width="62" hidden="0" customWidth="1"/>
    <x:col min="3" max="3" width="61" hidden="0" customWidth="1"/>
    <x:col min="4" max="4" width="61" hidden="0" customWidth="1"/>
    <x:col min="5" max="5" width="15" hidden="0" customWidth="1"/>
    <x:col min="6" max="6" width="15" hidden="0" customWidth="1"/>
  </x:cols>
  <x:sheetData>
    <x:row r="1" ht="35" customHeight="1">
      <x:c r="A1" s="15" t="str">
        <x:v>QUICKKART | REQUIREMENTS &amp; TEST EVIDENCE</x:v>
      </x:c>
      <x:c r="B1" s="15"/>
      <x:c r="C1" s="15"/>
      <x:c r="D1" s="15"/>
      <x:c r="E1" s="15"/>
      <x:c r="F1" s="15"/>
    </x:row>
    <x:row r="2" ht="32" customHeight="1">
      <x:c r="A2" s="19" t="str">
        <x:v>Portfolio case study • simulated daily POS feeds • evidence snapshot 30 October 2026 • no external stakeholder sign-off</x:v>
      </x:c>
      <x:c r="B2" s="19"/>
      <x:c r="C2" s="19"/>
      <x:c r="D2" s="19"/>
      <x:c r="E2" s="19"/>
      <x:c r="F2" s="19"/>
    </x:row>
    <x:row r="4" ht="25" customHeight="1">
      <x:c r="A4" s="23" t="str">
        <x:v>PROJECT FACT</x:v>
      </x:c>
      <x:c r="B4" s="23" t="str">
        <x:v>EVIDENCE / QUALIFICATION</x:v>
      </x:c>
    </x:row>
    <x:row r="5" ht="44" customHeight="1">
      <x:c r="A5" s="30" t="str">
        <x:v>Project scope</x:v>
      </x:c>
      <x:c r="B5" s="31" t="str">
        <x:v>50-store daily simulated POS quality gate + historical retail analytics + cloud reporting</x:v>
      </x:c>
    </x:row>
    <x:row r="6" ht="44" customHeight="1">
      <x:c r="A6" s="30" t="str">
        <x:v>Historical sales</x:v>
      </x:c>
      <x:c r="B6" s="31" t="str">
        <x:v>829,262 transactions (historical analysis, not today's daily batch)</x:v>
      </x:c>
    </x:row>
    <x:row r="7" ht="42" customHeight="1">
      <x:c r="A7" s="30" t="str">
        <x:v>Approved daily sales</x:v>
      </x:c>
      <x:c r="B7" s="60" t="str">
        <x:v>7,500 approved daily transactions across five reporting dates (19, 22, 27, 28, 29 Oct 2026); snapshot 30-Oct-2026</x:v>
      </x:c>
      <x:c r="C7" s="96"/>
      <x:c r="D7" s="96"/>
    </x:row>
    <x:row r="8" ht="42" customHeight="1">
      <x:c r="A8" s="30" t="str">
        <x:v>Latest approved batch</x:v>
      </x:c>
      <x:c r="B8" s="60" t="str">
        <x:v>Latest batch 29-Oct-2026: 1,500 transactions, 2,001 units</x:v>
      </x:c>
      <x:c r="C8" s="96"/>
      <x:c r="D8" s="96"/>
    </x:row>
    <x:row r="9" ht="42" customHeight="1">
      <x:c r="A9" s="30" t="str">
        <x:v>Approved units total</x:v>
      </x:c>
      <x:c r="B9" s="60" t="str">
        <x:v>9,852 units across 7,500 approved daily transactions (Neon + Power BI screenshot)</x:v>
      </x:c>
      <x:c r="C9" s="96"/>
      <x:c r="D9" s="96"/>
    </x:row>
    <x:row r="10" ht="42" customHeight="1">
      <x:c r="A10" s="30" t="str">
        <x:v>Power BI report</x:v>
      </x:c>
      <x:c r="B10" s="60" t="str">
        <x:v>5 Power BI report pages; SQL Daily Validation report displays 7,500 approved rows</x:v>
      </x:c>
      <x:c r="C10" s="96"/>
      <x:c r="D10" s="96"/>
    </x:row>
    <x:row r="11" ht="42" customHeight="1">
      <x:c r="A11" s="30" t="str">
        <x:v>Cloud workflow</x:v>
      </x:c>
      <x:c r="B11" s="60" t="str">
        <x:v>GitHub Actions (simulated Python POS + validation) → Neon PostgreSQL → Power BI Service</x:v>
      </x:c>
      <x:c r="C11" s="96"/>
      <x:c r="D11" s="96"/>
    </x:row>
    <x:row r="12" ht="42" customHeight="1">
      <x:c r="A12" s="30" t="str">
        <x:v>Verification status</x:v>
      </x:c>
      <x:c r="B12" s="60" t="str">
        <x:v>GitHub scheduled run #7 succeeded 30-Oct 11:13 AM; Power BI scheduled refresh 10:02 AM Completed; later 11:30 AM on-demand refresh Completed</x:v>
      </x:c>
      <x:c r="C12" s="96"/>
      <x:c r="D12" s="96"/>
    </x:row>
    <x:row r="13" ht="42" customHeight="1">
      <x:c r="A13" s="30" t="str">
        <x:v>Operational limit</x:v>
      </x:c>
      <x:c r="B13" s="60" t="str">
        <x:v>Scheduled runs verified individually; automated GitHub-before-Power BI refresh for the same NEW batch not yet demonstrated</x:v>
      </x:c>
      <x:c r="C13" s="96"/>
      <x:c r="D13" s="96"/>
    </x:row>
    <x:row r="14" ht="42" customHeight="1">
      <x:c r="A14" s="30" t="str">
        <x:v>Formal approval</x:v>
      </x:c>
      <x:c r="B14" s="60" t="str">
        <x:v>No real stakeholder sign-off; clarification, business-rule approval and formal production acceptance remain pending</x:v>
      </x:c>
      <x:c r="C14" s="96"/>
      <x:c r="D14" s="96"/>
    </x:row>
    <x:row r="15" ht="42" customHeight="1">
      <x:c r="A15" s="30" t="str">
        <x:v>Portfolio sharing</x:v>
      </x:c>
      <x:c r="B15" s="60" t="str">
        <x:v>Use sanitized screenshots/README only; never share NEON_DATABASE_URL, passwords, connection strings or private backups</x:v>
      </x:c>
      <x:c r="C15" s="96"/>
      <x:c r="D15" s="96"/>
    </x:row>
    <x:row r="16">
      <x:c r="B16" s="96"/>
      <x:c r="C16" s="96"/>
      <x:c r="D16" s="96"/>
    </x:row>
    <x:row r="17">
      <x:c r="B17" s="96"/>
      <x:c r="C17" s="96"/>
      <x:c r="D17" s="96"/>
    </x:row>
    <x:row r="18" ht="25" customHeight="1">
      <x:c r="A18" s="23" t="str">
        <x:v>WORKSTREAM</x:v>
      </x:c>
      <x:c r="B18" s="97" t="str">
        <x:v>STATUS</x:v>
      </x:c>
      <x:c r="C18" s="97" t="str">
        <x:v>EVIDENCE</x:v>
      </x:c>
      <x:c r="D18" s="97" t="str">
        <x:v>REMAINING NOTE</x:v>
      </x:c>
    </x:row>
    <x:row r="19" ht="42" customHeight="1">
      <x:c r="A19" s="30" t="str">
        <x:v>Requirements BRD/FRD</x:v>
      </x:c>
      <x:c r="B19" s="60" t="str">
        <x:v>Documented</x:v>
      </x:c>
      <x:c r="C19" s="60" t="str">
        <x:v>BR-001 through BR-010; FR-001 through FR-010</x:v>
      </x:c>
      <x:c r="D19" s="60" t="str">
        <x:v>Stakeholder confirmation pending</x:v>
      </x:c>
    </x:row>
    <x:row r="20" ht="42" customHeight="1">
      <x:c r="A20" s="30" t="str">
        <x:v>Agile stories / AC</x:v>
      </x:c>
      <x:c r="B20" s="60" t="str">
        <x:v>Technical implementation</x:v>
      </x:c>
      <x:c r="C20" s="60" t="str">
        <x:v>US-001..010; AC-001..015</x:v>
      </x:c>
      <x:c r="D20" s="60" t="str">
        <x:v>Formal business approval pending</x:v>
      </x:c>
    </x:row>
    <x:row r="21" ht="60" customHeight="1">
      <x:c r="A21" s="30" t="str">
        <x:v>Technical UAT</x:v>
      </x:c>
      <x:c r="B21" s="60" t="str">
        <x:v>15/15 technical cases recorded PASS</x:v>
      </x:c>
      <x:c r="C21" s="60" t="str">
        <x:v>UAT_Test_Cases + UAT_Evidence_Manifest</x:v>
      </x:c>
      <x:c r="D21" s="60" t="str">
        <x:v>TC-011/012 interaction images user-confirmed; external sign-off pending</x:v>
      </x:c>
    </x:row>
    <x:row r="22" ht="60" customHeight="1">
      <x:c r="A22" s="30" t="str">
        <x:v>Cloud database</x:v>
      </x:c>
      <x:c r="B22" s="60" t="str">
        <x:v>Verified (30-Oct snapshot)</x:v>
      </x:c>
      <x:c r="C22" s="60" t="str">
        <x:v>Neon daily.approved_sales 7,500 rows / 9,852 units</x:v>
      </x:c>
      <x:c r="D22" s="60" t="str">
        <x:v>Snapshot; data may grow with new batches</x:v>
      </x:c>
    </x:row>
    <x:row r="23" ht="60" customHeight="1">
      <x:c r="A23" s="30" t="str">
        <x:v>Cloud job schedule</x:v>
      </x:c>
      <x:c r="B23" s="60" t="str">
        <x:v>Scheduled run observed</x:v>
      </x:c>
      <x:c r="C23" s="60" t="str">
        <x:v>GitHub Actions run #7 Scheduled Success, 30-Oct-2026</x:v>
      </x:c>
      <x:c r="D23" s="60" t="str">
        <x:v>Scheduled trigger timing is not guaranteed</x:v>
      </x:c>
    </x:row>
    <x:row r="24" ht="60" customHeight="1">
      <x:c r="A24" s="30" t="str">
        <x:v>Power BI schedule</x:v>
      </x:c>
      <x:c r="B24" s="60" t="str">
        <x:v>Scheduled refresh observed</x:v>
      </x:c>
      <x:c r="C24" s="60" t="str">
        <x:v>Power BI scheduled refresh Completed, 30-Oct 10:02 AM</x:v>
      </x:c>
      <x:c r="D24" s="60" t="str">
        <x:v>29-Oct new batch observed after later on-demand refresh</x:v>
      </x:c>
    </x:row>
    <x:row r="25" ht="42" customHeight="1">
      <x:c r="A25" s="30" t="str">
        <x:v>RCA / statistics</x:v>
      </x:c>
      <x:c r="B25" s="31" t="str">
        <x:v>Mixed evidence</x:v>
      </x:c>
      <x:c r="C25" s="31" t="str">
        <x:v>Verified findings and 3 explicitly unverified rankings</x:v>
      </x:c>
      <x:c r="D25" s="31" t="str">
        <x:v>Do not present hypotheses as causal facts</x:v>
      </x:c>
    </x:row>
    <x:row r="27" ht="28" customHeight="1">
      <x:c r="A27" s="23" t="str">
        <x:v>RECRUITER EXPLANATION (COPYABLE)</x:v>
      </x:c>
      <x:c r="B27" s="23"/>
      <x:c r="C27" s="23"/>
      <x:c r="D27" s="23"/>
      <x:c r="E27" s="23"/>
      <x:c r="F27" s="23"/>
    </x:row>
    <x:row r="28" ht="38" customHeight="1">
      <x:c r="A28" s="33" t="str">
        <x:v>I built a simulated 50-store retail analytics and quality-gate workflow using SQL, Python, Excel, Power Query, and Power BI. GitHub Actions validates daily POS batches, approved transactions land in Neon PostgreSQL, and Power BI Service reports the results. By 30 October 2026, I reconciled 7,500 approved transactions and 9,852 units across Neon and Power BI. Scheduled cloud jobs were demonstrated; full unattended same-batch sequencing and external stakeholder sign-off are not claimed.</x:v>
      </x:c>
      <x:c r="B28" s="33"/>
      <x:c r="C28" s="33"/>
      <x:c r="D28" s="33"/>
      <x:c r="E28" s="33"/>
      <x:c r="F28" s="33"/>
    </x:row>
    <x:row r="29" ht="38" customHeight="1">
      <x:c r="A29" s="33"/>
      <x:c r="B29" s="33"/>
      <x:c r="C29" s="33"/>
      <x:c r="D29" s="33"/>
      <x:c r="E29" s="33"/>
      <x:c r="F29" s="33"/>
    </x:row>
    <x:row r="30" ht="38" customHeight="1">
      <x:c r="A30" s="33"/>
      <x:c r="B30" s="33"/>
      <x:c r="C30" s="33"/>
      <x:c r="D30" s="33"/>
      <x:c r="E30" s="33"/>
      <x:c r="F30" s="33"/>
    </x:row>
  </x:sheetData>
  <x:mergeCells>
    <x:mergeCell ref="A1:F1"/>
    <x:mergeCell ref="A2:F2"/>
    <x:mergeCell ref="A27:F27"/>
    <x:mergeCell ref="A28:F30"/>
  </x:mergeCells>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50" hidden="0" customWidth="1"/>
    <x:col min="4" max="4" width="56" hidden="0" customWidth="1"/>
    <x:col min="5" max="5" width="62" hidden="0" customWidth="1"/>
    <x:col min="6" max="6" width="49" hidden="0" customWidth="1"/>
  </x:cols>
  <x:sheetData>
    <x:row r="1" ht="31" customHeight="1">
      <x:c r="A1" s="36" t="str">
        <x:v>Evidence_ID</x:v>
      </x:c>
      <x:c r="B1" s="36" t="str">
        <x:v>Requirement/Test</x:v>
      </x:c>
      <x:c r="C1" s="36" t="str">
        <x:v>Technical Evidence</x:v>
      </x:c>
      <x:c r="D1" s="36" t="str">
        <x:v>Observed Result (30-Oct-2026 snapshot)</x:v>
      </x:c>
      <x:c r="E1" s="36" t="str">
        <x:v>Evidence Location / Reference</x:v>
      </x:c>
      <x:c r="F1" s="36" t="str">
        <x:v>Verification Limit</x:v>
      </x:c>
    </x:row>
    <x:row r="2" ht="68" customHeight="1">
      <x:c r="A2" s="95" t="str">
        <x:v>EV-001</x:v>
      </x:c>
      <x:c r="B2" s="60" t="str">
        <x:v>BR-001 to BR-005 / TC-001..009</x:v>
      </x:c>
      <x:c r="C2" s="60" t="str">
        <x:v>50 simulated store CSV files validated in Python</x:v>
      </x:c>
      <x:c r="D2" s="60" t="str">
        <x:v>PASS batch of 1,500 rows, or BLOCKED on invalid input</x:v>
      </x:c>
      <x:c r="E2" s="60" t="str">
        <x:v>scripts/run_daily_quality_pipeline.py; saved UAT sample logs</x:v>
      </x:c>
      <x:c r="F2" s="60" t="str">
        <x:v>Simulation; not live store feeds</x:v>
      </x:c>
    </x:row>
    <x:row r="3" ht="68" customHeight="1">
      <x:c r="A3" s="95" t="str">
        <x:v>EV-002</x:v>
      </x:c>
      <x:c r="B3" s="60" t="str">
        <x:v>BR-009 / TC-013..014</x:v>
      </x:c>
      <x:c r="C3" s="60" t="str">
        <x:v>JSON status, run log, exception CSV</x:v>
      </x:c>
      <x:c r="D3" s="60" t="str">
        <x:v>Successful and blocked runs demonstrated</x:v>
      </x:c>
      <x:c r="E3" s="60" t="str">
        <x:v>04_Automation_Logs; GitHub run logs</x:v>
      </x:c>
      <x:c r="F3" s="60" t="str">
        <x:v>GitHub uploaded QA artifacts have limited retention</x:v>
      </x:c>
    </x:row>
    <x:row r="4" ht="68" customHeight="1">
      <x:c r="A4" s="95" t="str">
        <x:v>EV-003</x:v>
      </x:c>
      <x:c r="B4" s="60" t="str">
        <x:v>BR-010 / TC-015</x:v>
      </x:c>
      <x:c r="C4" s="60" t="str">
        <x:v>GitHub Actions scheduled run #7</x:v>
      </x:c>
      <x:c r="D4" s="60" t="str">
        <x:v>Scheduled Success, 30-Oct-2026 11:13 AM IST (19 sec)</x:v>
      </x:c>
      <x:c r="E4" s="60" t="str">
        <x:v>TC-015_01_GitHub_Scheduled_Success.png</x:v>
      </x:c>
      <x:c r="F4" s="60" t="str">
        <x:v>Scheduled trigger may be delayed; independent workflow evidence</x:v>
      </x:c>
    </x:row>
    <x:row r="5" ht="68" customHeight="1">
      <x:c r="A5" s="95" t="str">
        <x:v>EV-004</x:v>
      </x:c>
      <x:c r="B5" s="60" t="str">
        <x:v>BR-010 / TC-015</x:v>
      </x:c>
      <x:c r="C5" s="60" t="str">
        <x:v>Power BI Service Refresh History</x:v>
      </x:c>
      <x:c r="D5" s="60" t="str">
        <x:v>30-Oct 10:02 AM Scheduled Completed; 11:30 AM On-demand Completed after GitHub run</x:v>
      </x:c>
      <x:c r="E5" s="60" t="str">
        <x:v>TC-015_03_PowerBI_Scheduled_Refresh_Completed.png</x:v>
      </x:c>
      <x:c r="F5" s="60" t="str">
        <x:v>New batch was observed after on-demand refresh; same-batch unattended ordering unproven</x:v>
      </x:c>
    </x:row>
    <x:row r="6" ht="68" customHeight="1">
      <x:c r="A6" s="95" t="str">
        <x:v>EV-005</x:v>
      </x:c>
      <x:c r="B6" s="60" t="str">
        <x:v>BR-005 / KPI-009</x:v>
      </x:c>
      <x:c r="C6" s="60" t="str">
        <x:v>Neon daily.approved_sales reconciliation</x:v>
      </x:c>
      <x:c r="D6" s="60" t="str">
        <x:v>Five report dates: 7,500 sales rows; 9,852 units; latest 29-Oct: 1,500 rows / 2,001 units</x:v>
      </x:c>
      <x:c r="E6" s="60" t="str">
        <x:v>TC-015_02_Neon_Approved_Sales_Snapshot.png</x:v>
      </x:c>
      <x:c r="F6" s="60" t="str">
        <x:v>Point-in-time cloud snapshot; daily rows may increase</x:v>
      </x:c>
    </x:row>
    <x:row r="7" ht="68" customHeight="1">
      <x:c r="A7" s="95" t="str">
        <x:v>EV-006</x:v>
      </x:c>
      <x:c r="B7" s="60" t="str">
        <x:v>BR-006..008 / TC-010..012</x:v>
      </x:c>
      <x:c r="C7" s="60" t="str">
        <x:v>Power BI Service Cloud report</x:v>
      </x:c>
      <x:c r="D7" s="60" t="str">
        <x:v>Five pages; SQL Daily Validation shows 7,500 rows; latest batch 29-Oct-2026</x:v>
      </x:c>
      <x:c r="E7" s="60" t="str">
        <x:v>TC-015_04_PowerBI_SQL_Daily_Validation_7500.png</x:v>
      </x:c>
      <x:c r="F7" s="60" t="str">
        <x:v>View access depends on tenant/permissions</x:v>
      </x:c>
    </x:row>
    <x:row r="8" ht="68" customHeight="1">
      <x:c r="A8" s="95" t="str">
        <x:v>EV-007</x:v>
      </x:c>
      <x:c r="B8" s="60" t="str">
        <x:v>Formal stakeholder approval</x:v>
      </x:c>
      <x:c r="C8" s="60" t="str">
        <x:v>No real external sign-off available</x:v>
      </x:c>
      <x:c r="D8" s="60" t="str">
        <x:v>Pending</x:v>
      </x:c>
      <x:c r="E8" s="60" t="str">
        <x:v>UAT_Summary B7; clarification logs</x:v>
      </x:c>
      <x:c r="F8" s="60" t="str">
        <x:v>Do not label business approval 'Approved'</x:v>
      </x:c>
    </x:row>
    <x:row r="9" ht="68" customHeight="1">
      <x:c r="A9" s="95" t="str">
        <x:v>EV-008</x:v>
      </x:c>
      <x:c r="B9" s="60" t="str">
        <x:v>Fresh-batch unattended E2E</x:v>
      </x:c>
      <x:c r="C9" s="60" t="str">
        <x:v>Fresh-batch end-to-end execution ordering</x:v>
      </x:c>
      <x:c r="D9" s="60" t="str">
        <x:v>Not independently verified as fully unattended; 30-Oct scheduled PBI refresh preceded 11:13 AM GitHub batch, followed by on-demand refresh.</x:v>
      </x:c>
      <x:c r="E9" s="60" t="str">
        <x:v>GitHub #7, Neon 7,500, Power BI 30-Oct refresh history and SQL Daily Validation screenshots</x:v>
      </x:c>
      <x:c r="F9" s="60" t="str">
        <x:v>Do not claim the new batch reached Power BI via the earlier scheduled refresh</x:v>
      </x:c>
    </x:row>
    <x:row r="10" ht="68" customHeight="1">
      <x:c r="A10" s="95" t="str">
        <x:v>EV-009</x:v>
      </x:c>
      <x:c r="B10" s="60" t="str">
        <x:v>Statistical ranks STAT-008..010</x:v>
      </x:c>
      <x:c r="C10" s="60" t="str">
        <x:v>Verified SQL ranking output not uploaded</x:v>
      </x:c>
      <x:c r="D10" s="60" t="str">
        <x:v>Unverified; not part of reported results</x:v>
      </x:c>
      <x:c r="E10" s="60" t="str">
        <x:v>Statistical_Business_Findings rows 9..11</x:v>
      </x:c>
      <x:c r="F10" s="60" t="str">
        <x:v>No ranking values invented</x:v>
      </x:c>
    </x:row>
    <x:row r="11" ht="68" customHeight="1">
      <x:c r="A11" s="60" t="str">
        <x:v>EV-010</x:v>
      </x:c>
      <x:c r="B11" s="60" t="str">
        <x:v>TC-005..009</x:v>
      </x:c>
      <x:c r="C11" s="60" t="str">
        <x:v>Isolated synthetic Python validation cases</x:v>
      </x:c>
      <x:c r="D11" s="60" t="str">
        <x:v>Units -3, unknown IDs, wrong date, approval block/recovery and 1,500-row approved CSV</x:v>
      </x:c>
      <x:c r="E11" s="60" t="str">
        <x:v>TC-005..TC-009 isolated test files in 03_UAT_Testing_Evidence</x:v>
      </x:c>
      <x:c r="F11" s="60" t="str">
        <x:v>Isolated tests are not cloud production run evidence</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70" hidden="0" customWidth="1"/>
    <x:col min="3" max="3" width="19" hidden="0" customWidth="1"/>
    <x:col min="4" max="4" width="36" hidden="0" customWidth="1"/>
    <x:col min="5" max="5" width="50" hidden="0" customWidth="1"/>
    <x:col min="6" max="6" width="52" hidden="0" customWidth="1"/>
  </x:cols>
  <x:sheetData>
    <x:row r="1" ht="36" customHeight="1">
      <x:c r="A1" s="64" t="str">
        <x:v>QUICKKART  |  UAT EVIDENCE REGISTER</x:v>
      </x:c>
      <x:c r="B1" s="64"/>
      <x:c r="C1" s="64"/>
      <x:c r="D1" s="64"/>
      <x:c r="E1" s="64"/>
      <x:c r="F1" s="64"/>
    </x:row>
    <x:row r="2" ht="28" customHeight="1">
      <x:c r="A2" s="67" t="str">
        <x:v>15 technical UAT cases • final documentation snapshot: 30 October 2026 • evidence folder: 05_Business_Analysis_UAT / 03_UAT_Testing_Evidence</x:v>
      </x:c>
      <x:c r="B2" s="67"/>
      <x:c r="C2" s="67"/>
      <x:c r="D2" s="67"/>
      <x:c r="E2" s="67"/>
      <x:c r="F2" s="67"/>
    </x:row>
    <x:row r="4" ht="30" customHeight="1">
      <x:c r="A4" s="71" t="str">
        <x:v>TEST CASE</x:v>
      </x:c>
      <x:c r="B4" s="71" t="str">
        <x:v>EVIDENCE FILE(S) / FOLDER</x:v>
      </x:c>
      <x:c r="C4" s="71" t="str">
        <x:v>FORMAT</x:v>
      </x:c>
      <x:c r="D4" s="71" t="str">
        <x:v>SOURCE / TEST MODE</x:v>
      </x:c>
      <x:c r="E4" s="71" t="str">
        <x:v>EVIDENCE RESULT</x:v>
      </x:c>
      <x:c r="F4" s="71" t="str">
        <x:v>VERIFICATION NOTE</x:v>
      </x:c>
    </x:row>
    <x:row r="5" ht="59" customHeight="1">
      <x:c r="A5" s="92" t="str">
        <x:v>TC-001</x:v>
      </x:c>
      <x:c r="B5" s="60" t="str">
        <x:v>2026-10-19_status.json</x:v>
      </x:c>
      <x:c r="C5" s="60" t="str">
        <x:v>JSON</x:v>
      </x:c>
      <x:c r="D5" s="60" t="str">
        <x:v>Original local Python run</x:v>
      </x:c>
      <x:c r="E5" s="60" t="str">
        <x:v>50/50 files, 1,500 approved; PASS</x:v>
      </x:c>
      <x:c r="F5" s="60" t="str">
        <x:v>File content verified</x:v>
      </x:c>
    </x:row>
    <x:row r="6" ht="59" customHeight="1">
      <x:c r="A6" s="93" t="str">
        <x:v>TC-002</x:v>
      </x:c>
      <x:c r="B6" s="94" t="str">
        <x:v>TC-002_Date_Isolation.png</x:v>
      </x:c>
      <x:c r="C6" s="94" t="str">
        <x:v>PNG</x:v>
      </x:c>
      <x:c r="D6" s="94" t="str">
        <x:v>Original Power Query screenshot</x:v>
      </x:c>
      <x:c r="E6" s="94" t="str">
        <x:v>51 total; 50 selected-date; 1 other-date</x:v>
      </x:c>
      <x:c r="F6" s="94" t="str">
        <x:v>Screenshot verified</x:v>
      </x:c>
    </x:row>
    <x:row r="7" ht="59" customHeight="1">
      <x:c r="A7" s="92" t="str">
        <x:v>TC-003</x:v>
      </x:c>
      <x:c r="B7" s="60" t="str">
        <x:v>TC-003_Missing_Store_BLOCKED.log</x:v>
      </x:c>
      <x:c r="C7" s="60" t="str">
        <x:v>LOG</x:v>
      </x:c>
      <x:c r="D7" s="60" t="str">
        <x:v>Original Python failure run</x:v>
      </x:c>
      <x:c r="E7" s="60" t="str">
        <x:v>S004 missing; BLOCKED; 0 approved</x:v>
      </x:c>
      <x:c r="F7" s="60" t="str">
        <x:v>Original log verified</x:v>
      </x:c>
    </x:row>
    <x:row r="8" ht="59" customHeight="1">
      <x:c r="A8" s="93" t="str">
        <x:v>TC-004</x:v>
      </x:c>
      <x:c r="B8" s="94" t="str">
        <x:v>TC-004_Duplicate_Sale_ID_BLOCKED.log</x:v>
      </x:c>
      <x:c r="C8" s="94" t="str">
        <x:v>LOG</x:v>
      </x:c>
      <x:c r="D8" s="94" t="str">
        <x:v>Original Python failure run</x:v>
      </x:c>
      <x:c r="E8" s="94" t="str">
        <x:v>S003 line 3 duplicate ID; BLOCKED</x:v>
      </x:c>
      <x:c r="F8" s="94" t="str">
        <x:v>Original log verified</x:v>
      </x:c>
    </x:row>
    <x:row r="9" ht="59" customHeight="1">
      <x:c r="A9" s="92" t="str">
        <x:v>TC-005</x:v>
      </x:c>
      <x:c r="B9" s="60" t="str">
        <x:v>TC-005_Invalid_Units_validation_exceptions.csv + test LOG / JSON</x:v>
      </x:c>
      <x:c r="C9" s="60" t="str">
        <x:v>CSV + LOG + JSON</x:v>
      </x:c>
      <x:c r="D9" s="60" t="str">
        <x:v>New isolated synthetic Python test</x:v>
      </x:c>
      <x:c r="E9" s="60" t="str">
        <x:v>Units=-3; BLOCKED; no approved rows</x:v>
      </x:c>
      <x:c r="F9" s="60" t="str">
        <x:v>Isolated, not production</x:v>
      </x:c>
    </x:row>
    <x:row r="10" ht="59" customHeight="1">
      <x:c r="A10" s="93" t="str">
        <x:v>TC-006</x:v>
      </x:c>
      <x:c r="B10" s="94" t="str">
        <x:v>TC-006_Unknown_Product_Store_ID_Evidence / 01_BLOCKED + 02_Recovery_PASS</x:v>
      </x:c>
      <x:c r="C10" s="94" t="str">
        <x:v>LOG + CSV + JSON</x:v>
      </x:c>
      <x:c r="D10" s="94" t="str">
        <x:v>New isolated synthetic Python test</x:v>
      </x:c>
      <x:c r="E10" s="94" t="str">
        <x:v>Unknown IDs=9999; BLOCKED; correction PASS</x:v>
      </x:c>
      <x:c r="F10" s="94" t="str">
        <x:v>Isolated, not production</x:v>
      </x:c>
    </x:row>
    <x:row r="11" ht="59" customHeight="1">
      <x:c r="A11" s="92" t="str">
        <x:v>TC-007</x:v>
      </x:c>
      <x:c r="B11" s="60" t="str">
        <x:v>TC-007_Wrong_Reporting_Date_Evidence / 01_BLOCKED + 02_Recovery_PASS</x:v>
      </x:c>
      <x:c r="C11" s="60" t="str">
        <x:v>LOG + CSV + JSON</x:v>
      </x:c>
      <x:c r="D11" s="60" t="str">
        <x:v>New isolated synthetic Python test</x:v>
      </x:c>
      <x:c r="E11" s="60" t="str">
        <x:v>Wrong date blocked; correction PASS</x:v>
      </x:c>
      <x:c r="F11" s="60" t="str">
        <x:v>Isolated, not production</x:v>
      </x:c>
    </x:row>
    <x:row r="12" ht="59" customHeight="1">
      <x:c r="A12" s="93" t="str">
        <x:v>TC-008</x:v>
      </x:c>
      <x:c r="B12" s="94" t="str">
        <x:v>TC-008_Report_Approval_Blocking_Evidence / 01_BLOCKED + 02_Recovery_PASS</x:v>
      </x:c>
      <x:c r="C12" s="94" t="str">
        <x:v>LOG + JSON</x:v>
      </x:c>
      <x:c r="D12" s="94" t="str">
        <x:v>TC-007 isolated test reused</x:v>
      </x:c>
      <x:c r="E12" s="94" t="str">
        <x:v>Invalid batch 0 approved; recovery 1,500</x:v>
      </x:c>
      <x:c r="F12" s="94" t="str">
        <x:v>Reused test; not independent cloud gate</x:v>
      </x:c>
    </x:row>
    <x:row r="13" ht="59" customHeight="1">
      <x:c r="A13" s="92" t="str">
        <x:v>TC-009</x:v>
      </x:c>
      <x:c r="B13" s="60" t="str">
        <x:v>TC-009_Approved_Sales_2026-10-19_Isolated_Test.csv</x:v>
      </x:c>
      <x:c r="C13" s="60" t="str">
        <x:v>CSV</x:v>
      </x:c>
      <x:c r="D13" s="60" t="str">
        <x:v>New isolated synthetic PASS run</x:v>
      </x:c>
      <x:c r="E13" s="60" t="str">
        <x:v>1,500 valid approved transactions</x:v>
      </x:c>
      <x:c r="F13" s="60" t="str">
        <x:v>Isolated CSV, not original cloud export</x:v>
      </x:c>
    </x:row>
    <x:row r="14" ht="59" customHeight="1">
      <x:c r="A14" s="93" t="str">
        <x:v>TC-010</x:v>
      </x:c>
      <x:c r="B14" s="94" t="str">
        <x:v>01_Executive_Overview.png</x:v>
      </x:c>
      <x:c r="C14" s="94" t="str">
        <x:v>PNG</x:v>
      </x:c>
      <x:c r="D14" s="94" t="str">
        <x:v>Actual Power BI report screenshot</x:v>
      </x:c>
      <x:c r="E14" s="94" t="str">
        <x:v>Historic KPIs visible; $14.44M sales</x:v>
      </x:c>
      <x:c r="F14" s="94" t="str">
        <x:v>Visual display verified; SQL accuracy separate</x:v>
      </x:c>
    </x:row>
    <x:row r="15" ht="59" customHeight="1">
      <x:c r="A15" s="92" t="str">
        <x:v>TC-011</x:v>
      </x:c>
      <x:c r="B15" s="60" t="str">
        <x:v>TC-011_Sales_All_Filters_Before_REAL.png + TC-011_Store_Location_Downtown_After.png</x:v>
      </x:c>
      <x:c r="C15" s="60" t="str">
        <x:v>PNG × 2</x:v>
      </x:c>
      <x:c r="D15" s="60" t="str">
        <x:v>Power BI interactive filter test</x:v>
      </x:c>
      <x:c r="E15" s="60" t="str">
        <x:v>User reports slicer affected KPIs / visuals</x:v>
      </x:c>
      <x:c r="F15" s="60" t="str">
        <x:v>AFTER image user-confirmed, not reviewed here</x:v>
      </x:c>
    </x:row>
    <x:row r="16" ht="59" customHeight="1">
      <x:c r="A16" s="93" t="str">
        <x:v>TC-012</x:v>
      </x:c>
      <x:c r="B16" s="94" t="str">
        <x:v>TC-012_Product_Analysis_REAL.png + TC-012_Product_Toys_Selected.png</x:v>
      </x:c>
      <x:c r="C16" s="94" t="str">
        <x:v>PNG × 2</x:v>
      </x:c>
      <x:c r="D16" s="94" t="str">
        <x:v>Power BI category selection test</x:v>
      </x:c>
      <x:c r="E16" s="94" t="str">
        <x:v>Product metrics and selection behavior reported</x:v>
      </x:c>
      <x:c r="F16" s="94" t="str">
        <x:v>Selected image user-confirmed, not reviewed here</x:v>
      </x:c>
    </x:row>
    <x:row r="17" ht="59" customHeight="1">
      <x:c r="A17" s="92" t="str">
        <x:v>TC-013</x:v>
      </x:c>
      <x:c r="B17" s="60" t="str">
        <x:v>2026-10-19_135823_319816_run.log + 2026-10-19_status.json</x:v>
      </x:c>
      <x:c r="C17" s="60" t="str">
        <x:v>LOG + JSON</x:v>
      </x:c>
      <x:c r="D17" s="60" t="str">
        <x:v>Original Python success run</x:v>
      </x:c>
      <x:c r="E17" s="60" t="str">
        <x:v>PASS, 50 files, 1,500 rows, 0 issues</x:v>
      </x:c>
      <x:c r="F17" s="60" t="str">
        <x:v>Original log / status verified</x:v>
      </x:c>
    </x:row>
    <x:row r="18" ht="59" customHeight="1">
      <x:c r="A18" s="93" t="str">
        <x:v>TC-014</x:v>
      </x:c>
      <x:c r="B18" s="94" t="str">
        <x:v>TC-014_Failure_Logging.log (from TC-003 original)</x:v>
      </x:c>
      <x:c r="C18" s="94" t="str">
        <x:v>LOG</x:v>
      </x:c>
      <x:c r="D18" s="94" t="str">
        <x:v>Original Python failure run</x:v>
      </x:c>
      <x:c r="E18" s="94" t="str">
        <x:v>BLOCKED and missing S004 filename logged</x:v>
      </x:c>
      <x:c r="F18" s="94" t="str">
        <x:v>Same log appropriately reused</x:v>
      </x:c>
    </x:row>
    <x:row r="19" ht="59" customHeight="1">
      <x:c r="A19" s="92" t="str">
        <x:v>TC-015</x:v>
      </x:c>
      <x:c r="B19" s="60" t="str">
        <x:v>TC-015_01_GitHub_Scheduled_Success.png; TC-015_02_Neon_Approved_Sales_Snapshot.png; TC-015_03_PowerBI_Scheduled_Refresh_Completed.png; TC-015_04_PowerBI_SQL_Daily_Validation_7500.png</x:v>
      </x:c>
      <x:c r="C19" s="60" t="str">
        <x:v>PNG × 4</x:v>
      </x:c>
      <x:c r="D19" s="60" t="str">
        <x:v>GitHub + Neon + Power BI evidence</x:v>
      </x:c>
      <x:c r="E19" s="60" t="str">
        <x:v>Scheduled jobs succeeded; 7,500 rows reconciled</x:v>
      </x:c>
      <x:c r="F19" s="60" t="str">
        <x:v>Unattended same-batch sequence NOT established</x:v>
      </x:c>
    </x:row>
    <x:row r="21" ht="35" customHeight="1">
      <x:c r="A21" s="78" t="str">
        <x:v>TEST INTERPRETATION  |  PASS means the documented technical test met its expected result within the stated environment. A deliberately BLOCKED invalid batch is a PASS for negative testing.</x:v>
      </x:c>
      <x:c r="B21" s="78"/>
      <x:c r="C21" s="78"/>
      <x:c r="D21" s="78"/>
      <x:c r="E21" s="78"/>
      <x:c r="F21" s="78"/>
    </x:row>
    <x:row r="22" ht="35" customHeight="1">
      <x:c r="A22" s="78" t="str">
        <x:v>EVIDENCE LOCATION  |  QuickKart_Recruiter_Portfolio / 05_Business_Analysis_UAT / 03_UAT_Testing_Evidence. Some files may be stored as extracted evidence subfolders.</x:v>
      </x:c>
      <x:c r="B22" s="78"/>
      <x:c r="C22" s="78"/>
      <x:c r="D22" s="78"/>
      <x:c r="E22" s="78"/>
      <x:c r="F22" s="78"/>
    </x:row>
    <x:row r="23" ht="35" customHeight="1">
      <x:c r="A23" s="82" t="str">
        <x:v>CLOUD TIMELINE  |  On 30-Oct: Power BI Scheduled 10:02 AM Completed; GitHub Scheduled #7 at 11:13 AM Success; Power BI On-demand 11:30 AM Completed; Neon and report showed 7,500 rows.</x:v>
      </x:c>
      <x:c r="B23" s="82"/>
      <x:c r="C23" s="82"/>
      <x:c r="D23" s="82"/>
      <x:c r="E23" s="82"/>
      <x:c r="F23" s="82"/>
    </x:row>
    <x:row r="24" ht="35" customHeight="1">
      <x:c r="A24" s="82" t="str">
        <x:v>GOVERNANCE  |  Simulated POS feed only. Formal real-world stakeholder approval not obtained. Do not imply contractual SLA or unattended same-batch ordering from available screenshots.</x:v>
      </x:c>
      <x:c r="B24" s="82"/>
      <x:c r="C24" s="82"/>
      <x:c r="D24" s="82"/>
      <x:c r="E24" s="82"/>
      <x:c r="F24" s="82"/>
    </x:row>
  </x:sheetData>
  <x:mergeCells>
    <x:mergeCell ref="A1:F1"/>
    <x:mergeCell ref="A2:F2"/>
    <x:mergeCell ref="A21:F21"/>
    <x:mergeCell ref="A22:F22"/>
    <x:mergeCell ref="A23:F23"/>
    <x:mergeCell ref="A24:F24"/>
  </x:mergeCells>
  <x:pageMargins left="0.7" right="0.7" top="0.75" bottom="0.75" header="0.3" footer="0.3"/>
</x:worksheet>
</file>